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bu\Downloads\"/>
    </mc:Choice>
  </mc:AlternateContent>
  <bookViews>
    <workbookView xWindow="0" yWindow="0" windowWidth="23040" windowHeight="9072" activeTab="3"/>
  </bookViews>
  <sheets>
    <sheet name="Raw data" sheetId="1" r:id="rId1"/>
    <sheet name="Clean data" sheetId="2" r:id="rId2"/>
    <sheet name="Analysis" sheetId="3" r:id="rId3"/>
    <sheet name="Dashboard" sheetId="4"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C3" i="2"/>
  <c r="B3" i="2"/>
  <c r="A3" i="2"/>
  <c r="C2" i="2"/>
  <c r="B2" i="2"/>
  <c r="A2"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alcChain>
</file>

<file path=xl/sharedStrings.xml><?xml version="1.0" encoding="utf-8"?>
<sst xmlns="http://schemas.openxmlformats.org/spreadsheetml/2006/main" count="193" uniqueCount="36">
  <si>
    <t>Electronics</t>
  </si>
  <si>
    <t>Monitor</t>
  </si>
  <si>
    <t>OrderID</t>
  </si>
  <si>
    <t>Date</t>
  </si>
  <si>
    <t>Product</t>
  </si>
  <si>
    <t>Category</t>
  </si>
  <si>
    <t>Region</t>
  </si>
  <si>
    <t>Quantity</t>
  </si>
  <si>
    <t>Price</t>
  </si>
  <si>
    <t>Laptop</t>
  </si>
  <si>
    <t>Gauteng</t>
  </si>
  <si>
    <t>Phone</t>
  </si>
  <si>
    <t>Western Cape</t>
  </si>
  <si>
    <t>Desk</t>
  </si>
  <si>
    <t>Furniture</t>
  </si>
  <si>
    <t>Kwazulu-Natal</t>
  </si>
  <si>
    <t>Chair</t>
  </si>
  <si>
    <t>Tablet</t>
  </si>
  <si>
    <t>Eastern Cape</t>
  </si>
  <si>
    <t>Sofa</t>
  </si>
  <si>
    <t>Headphones</t>
  </si>
  <si>
    <t>Free State</t>
  </si>
  <si>
    <t>Mouse</t>
  </si>
  <si>
    <t>Keyboard</t>
  </si>
  <si>
    <t>Revenue</t>
  </si>
  <si>
    <t>Month</t>
  </si>
  <si>
    <t>Year</t>
  </si>
  <si>
    <t>Row Labels</t>
  </si>
  <si>
    <t>Grand Total</t>
  </si>
  <si>
    <t>Sum of Revenue</t>
  </si>
  <si>
    <t>January</t>
  </si>
  <si>
    <t>February</t>
  </si>
  <si>
    <t>March</t>
  </si>
  <si>
    <t>April</t>
  </si>
  <si>
    <t>May</t>
  </si>
  <si>
    <t>Sales Perfomance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</si>
</sst>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4">
    <font>
      <sz val="11"/>
      <color theme="1"/>
      <name val="Aptos Narrow"/>
      <family val="2"/>
      <scheme val="minor"/>
    </font>
    <font>
      <b/>
      <sz val="11"/>
      <color theme="0"/>
      <name val="Aptos Narrow"/>
      <family val="2"/>
      <scheme val="minor"/>
    </font>
    <font>
      <sz val="8"/>
      <name val="Aptos Narrow"/>
      <family val="2"/>
      <scheme val="minor"/>
    </font>
    <font>
      <sz val="18"/>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5999938962981048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3" fontId="0" fillId="0" borderId="0" xfId="0" applyNumberFormat="1"/>
    <xf numFmtId="0" fontId="1" fillId="2" borderId="1" xfId="0" applyFont="1" applyFill="1" applyBorder="1"/>
    <xf numFmtId="0" fontId="1" fillId="2" borderId="2" xfId="0" applyFont="1" applyFill="1" applyBorder="1"/>
    <xf numFmtId="0" fontId="0" fillId="3" borderId="1" xfId="0" applyFont="1" applyFill="1" applyBorder="1"/>
    <xf numFmtId="0" fontId="0" fillId="3" borderId="2" xfId="0" applyFont="1" applyFill="1" applyBorder="1"/>
    <xf numFmtId="0" fontId="0" fillId="0" borderId="1" xfId="0" applyFont="1" applyBorder="1"/>
    <xf numFmtId="0" fontId="0" fillId="0" borderId="2" xfId="0"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3" fillId="4" borderId="0" xfId="0" applyFont="1" applyFill="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3" formatCode="#,##0"/>
    </dxf>
    <dxf>
      <numFmt numFmtId="165"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with Forecasting.xlsx]Analysis!PivotTable6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6.8016903920023936E-2"/>
          <c:y val="0.11177170991738253"/>
          <c:w val="0.9071646239061002"/>
          <c:h val="0.82077936518037298"/>
        </c:manualLayout>
      </c:layout>
      <c:lineChart>
        <c:grouping val="standard"/>
        <c:varyColors val="0"/>
        <c:ser>
          <c:idx val="0"/>
          <c:order val="0"/>
          <c:tx>
            <c:strRef>
              <c:f>Analysis!$H$1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Analysis!$G$2:$G$7</c:f>
              <c:strCache>
                <c:ptCount val="5"/>
                <c:pt idx="0">
                  <c:v>January</c:v>
                </c:pt>
                <c:pt idx="1">
                  <c:v>February</c:v>
                </c:pt>
                <c:pt idx="2">
                  <c:v>March</c:v>
                </c:pt>
                <c:pt idx="3">
                  <c:v>April</c:v>
                </c:pt>
                <c:pt idx="4">
                  <c:v>May</c:v>
                </c:pt>
              </c:strCache>
            </c:strRef>
          </c:cat>
          <c:val>
            <c:numRef>
              <c:f>Analysis!$H$2:$H$7</c:f>
              <c:numCache>
                <c:formatCode>General</c:formatCode>
                <c:ptCount val="5"/>
                <c:pt idx="0">
                  <c:v>109100</c:v>
                </c:pt>
                <c:pt idx="1">
                  <c:v>90600</c:v>
                </c:pt>
                <c:pt idx="2">
                  <c:v>140700</c:v>
                </c:pt>
                <c:pt idx="3">
                  <c:v>133200</c:v>
                </c:pt>
                <c:pt idx="4">
                  <c:v>123300</c:v>
                </c:pt>
              </c:numCache>
            </c:numRef>
          </c:val>
          <c:smooth val="0"/>
          <c:extLst>
            <c:ext xmlns:c16="http://schemas.microsoft.com/office/drawing/2014/chart" uri="{C3380CC4-5D6E-409C-BE32-E72D297353CC}">
              <c16:uniqueId val="{00000000-B971-43B5-A7C6-BFF8105CF8F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55842816"/>
        <c:axId val="1755836096"/>
      </c:lineChart>
      <c:catAx>
        <c:axId val="17558428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55836096"/>
        <c:crosses val="autoZero"/>
        <c:auto val="1"/>
        <c:lblAlgn val="ctr"/>
        <c:lblOffset val="100"/>
        <c:noMultiLvlLbl val="0"/>
      </c:catAx>
      <c:valAx>
        <c:axId val="1755836096"/>
        <c:scaling>
          <c:orientation val="minMax"/>
        </c:scaling>
        <c:delete val="0"/>
        <c:axPos val="l"/>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58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with Forecasting.xlsx]Analysis!PivotTable8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Analysis!$O$1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Analysis!$N$2:$N$7</c:f>
              <c:strCache>
                <c:ptCount val="5"/>
                <c:pt idx="0">
                  <c:v>Tablet</c:v>
                </c:pt>
                <c:pt idx="1">
                  <c:v>Sofa</c:v>
                </c:pt>
                <c:pt idx="2">
                  <c:v>Phone</c:v>
                </c:pt>
                <c:pt idx="3">
                  <c:v>Monitor</c:v>
                </c:pt>
                <c:pt idx="4">
                  <c:v>Laptop</c:v>
                </c:pt>
              </c:strCache>
            </c:strRef>
          </c:cat>
          <c:val>
            <c:numRef>
              <c:f>Analysis!$O$2:$O$7</c:f>
              <c:numCache>
                <c:formatCode>General</c:formatCode>
                <c:ptCount val="5"/>
                <c:pt idx="0">
                  <c:v>72000</c:v>
                </c:pt>
                <c:pt idx="1">
                  <c:v>50000</c:v>
                </c:pt>
                <c:pt idx="2">
                  <c:v>144000</c:v>
                </c:pt>
                <c:pt idx="3">
                  <c:v>52000</c:v>
                </c:pt>
                <c:pt idx="4">
                  <c:v>150000</c:v>
                </c:pt>
              </c:numCache>
            </c:numRef>
          </c:val>
          <c:extLst>
            <c:ext xmlns:c16="http://schemas.microsoft.com/office/drawing/2014/chart" uri="{C3380CC4-5D6E-409C-BE32-E72D297353CC}">
              <c16:uniqueId val="{00000000-6D23-4421-8F5B-DCD497B4F675}"/>
            </c:ext>
          </c:extLst>
        </c:ser>
        <c:dLbls>
          <c:showLegendKey val="0"/>
          <c:showVal val="0"/>
          <c:showCatName val="0"/>
          <c:showSerName val="0"/>
          <c:showPercent val="0"/>
          <c:showBubbleSize val="0"/>
        </c:dLbls>
        <c:gapWidth val="65"/>
        <c:shape val="box"/>
        <c:axId val="1755833696"/>
        <c:axId val="1755827936"/>
        <c:axId val="0"/>
      </c:bar3DChart>
      <c:catAx>
        <c:axId val="1755833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5827936"/>
        <c:crosses val="autoZero"/>
        <c:auto val="1"/>
        <c:lblAlgn val="ctr"/>
        <c:lblOffset val="100"/>
        <c:noMultiLvlLbl val="0"/>
      </c:catAx>
      <c:valAx>
        <c:axId val="1755827936"/>
        <c:scaling>
          <c:orientation val="minMax"/>
        </c:scaling>
        <c:delete val="0"/>
        <c:axPos val="b"/>
        <c:majorGridlines>
          <c:spPr>
            <a:ln w="9525" cap="flat" cmpd="sng" algn="ctr">
              <a:solidFill>
                <a:schemeClr val="dk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583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with Forecasting.xlsx]Analysis!PivotTable10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Analysis!$X$1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36-43FE-92D4-1FAD30AA73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36-43FE-92D4-1FAD30AA73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Analysis!$W$2:$W$4</c:f>
              <c:strCache>
                <c:ptCount val="2"/>
                <c:pt idx="0">
                  <c:v>Electronics</c:v>
                </c:pt>
                <c:pt idx="1">
                  <c:v>Furniture</c:v>
                </c:pt>
              </c:strCache>
            </c:strRef>
          </c:cat>
          <c:val>
            <c:numRef>
              <c:f>Analysis!$X$2:$X$4</c:f>
              <c:numCache>
                <c:formatCode>General</c:formatCode>
                <c:ptCount val="2"/>
                <c:pt idx="0">
                  <c:v>491100</c:v>
                </c:pt>
                <c:pt idx="1">
                  <c:v>105800</c:v>
                </c:pt>
              </c:numCache>
            </c:numRef>
          </c:val>
          <c:extLst>
            <c:ext xmlns:c16="http://schemas.microsoft.com/office/drawing/2014/chart" uri="{C3380CC4-5D6E-409C-BE32-E72D297353CC}">
              <c16:uniqueId val="{00000004-6936-43FE-92D4-1FAD30AA73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with Forecasting.xlsx]Analysis!PivotTable3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24759405074366"/>
          <c:y val="0.2174537037037037"/>
          <c:w val="0.85230796150481192"/>
          <c:h val="0.64780912802566348"/>
        </c:manualLayout>
      </c:layout>
      <c:bar3DChart>
        <c:barDir val="col"/>
        <c:grouping val="clustered"/>
        <c:varyColors val="0"/>
        <c:ser>
          <c:idx val="0"/>
          <c:order val="0"/>
          <c:tx>
            <c:strRef>
              <c:f>Analysis!$B$1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Analysis!$A$2:$A$7</c:f>
              <c:strCache>
                <c:ptCount val="5"/>
                <c:pt idx="0">
                  <c:v>Eastern Cape</c:v>
                </c:pt>
                <c:pt idx="1">
                  <c:v>Free State</c:v>
                </c:pt>
                <c:pt idx="2">
                  <c:v>Gauteng</c:v>
                </c:pt>
                <c:pt idx="3">
                  <c:v>Kwazulu-Natal</c:v>
                </c:pt>
                <c:pt idx="4">
                  <c:v>Western Cape</c:v>
                </c:pt>
              </c:strCache>
            </c:strRef>
          </c:cat>
          <c:val>
            <c:numRef>
              <c:f>Analysis!$B$2:$B$7</c:f>
              <c:numCache>
                <c:formatCode>General</c:formatCode>
                <c:ptCount val="5"/>
                <c:pt idx="0">
                  <c:v>26000</c:v>
                </c:pt>
                <c:pt idx="1">
                  <c:v>14800</c:v>
                </c:pt>
                <c:pt idx="2">
                  <c:v>43000</c:v>
                </c:pt>
                <c:pt idx="3">
                  <c:v>9000</c:v>
                </c:pt>
                <c:pt idx="4">
                  <c:v>13000</c:v>
                </c:pt>
              </c:numCache>
            </c:numRef>
          </c:val>
          <c:extLst>
            <c:ext xmlns:c16="http://schemas.microsoft.com/office/drawing/2014/chart" uri="{C3380CC4-5D6E-409C-BE32-E72D297353CC}">
              <c16:uniqueId val="{00000000-79BF-49A0-B48C-8E4A033112AE}"/>
            </c:ext>
          </c:extLst>
        </c:ser>
        <c:dLbls>
          <c:showLegendKey val="0"/>
          <c:showVal val="0"/>
          <c:showCatName val="0"/>
          <c:showSerName val="0"/>
          <c:showPercent val="0"/>
          <c:showBubbleSize val="0"/>
        </c:dLbls>
        <c:gapWidth val="65"/>
        <c:shape val="box"/>
        <c:axId val="1647678064"/>
        <c:axId val="1647679024"/>
        <c:axId val="0"/>
      </c:bar3DChart>
      <c:catAx>
        <c:axId val="1647678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7679024"/>
        <c:crosses val="autoZero"/>
        <c:auto val="1"/>
        <c:lblAlgn val="ctr"/>
        <c:lblOffset val="100"/>
        <c:noMultiLvlLbl val="0"/>
      </c:catAx>
      <c:valAx>
        <c:axId val="1647679024"/>
        <c:scaling>
          <c:orientation val="minMax"/>
        </c:scaling>
        <c:delete val="0"/>
        <c:axPos val="l"/>
        <c:majorGridlines>
          <c:spPr>
            <a:ln w="9525" cap="flat" cmpd="sng" algn="ctr">
              <a:solidFill>
                <a:schemeClr val="dk1">
                  <a:lumMod val="15000"/>
                  <a:lumOff val="85000"/>
                </a:schemeClr>
              </a:solidFill>
              <a:round/>
            </a:ln>
            <a:effectLst/>
          </c:spPr>
        </c:majorGridlines>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767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193974</xdr:colOff>
      <xdr:row>2</xdr:row>
      <xdr:rowOff>16383</xdr:rowOff>
    </xdr:from>
    <xdr:to>
      <xdr:col>42</xdr:col>
      <xdr:colOff>398430</xdr:colOff>
      <xdr:row>42</xdr:row>
      <xdr:rowOff>160421</xdr:rowOff>
    </xdr:to>
    <xdr:graphicFrame macro="">
      <xdr:nvGraphicFramePr>
        <xdr:cNvPr id="4" name="Chart 3">
          <a:extLst>
            <a:ext uri="{FF2B5EF4-FFF2-40B4-BE49-F238E27FC236}">
              <a16:creationId xmlns:a16="http://schemas.microsoft.com/office/drawing/2014/main" id="{BFD09CD1-1CFE-492E-B9FD-92150DBA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223147</xdr:colOff>
      <xdr:row>49</xdr:row>
      <xdr:rowOff>108696</xdr:rowOff>
    </xdr:from>
    <xdr:to>
      <xdr:col>23</xdr:col>
      <xdr:colOff>328982</xdr:colOff>
      <xdr:row>68</xdr:row>
      <xdr:rowOff>91058</xdr:rowOff>
    </xdr:to>
    <xdr:graphicFrame macro="">
      <xdr:nvGraphicFramePr>
        <xdr:cNvPr id="5" name="Chart 4">
          <a:extLst>
            <a:ext uri="{FF2B5EF4-FFF2-40B4-BE49-F238E27FC236}">
              <a16:creationId xmlns:a16="http://schemas.microsoft.com/office/drawing/2014/main" id="{547F8B83-5719-44E7-839F-FF2F0C8F5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497762</xdr:colOff>
      <xdr:row>49</xdr:row>
      <xdr:rowOff>107322</xdr:rowOff>
    </xdr:from>
    <xdr:to>
      <xdr:col>42</xdr:col>
      <xdr:colOff>584768</xdr:colOff>
      <xdr:row>68</xdr:row>
      <xdr:rowOff>71995</xdr:rowOff>
    </xdr:to>
    <xdr:graphicFrame macro="">
      <xdr:nvGraphicFramePr>
        <xdr:cNvPr id="6" name="Chart 5">
          <a:extLst>
            <a:ext uri="{FF2B5EF4-FFF2-40B4-BE49-F238E27FC236}">
              <a16:creationId xmlns:a16="http://schemas.microsoft.com/office/drawing/2014/main" id="{2648D96F-7844-485C-AD62-7342DC457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203768</xdr:colOff>
      <xdr:row>2</xdr:row>
      <xdr:rowOff>55613</xdr:rowOff>
    </xdr:from>
    <xdr:to>
      <xdr:col>10</xdr:col>
      <xdr:colOff>17162</xdr:colOff>
      <xdr:row>22</xdr:row>
      <xdr:rowOff>60159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4753A91-2725-4CBC-8301-189592CB8B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01876" y="426316"/>
              <a:ext cx="3211502" cy="371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42239</xdr:colOff>
      <xdr:row>2</xdr:row>
      <xdr:rowOff>31098</xdr:rowOff>
    </xdr:from>
    <xdr:to>
      <xdr:col>5</xdr:col>
      <xdr:colOff>17162</xdr:colOff>
      <xdr:row>21</xdr:row>
      <xdr:rowOff>68648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E25AC15-9A70-48D3-A49D-2B6C7EC051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239" y="398730"/>
              <a:ext cx="2982818" cy="3530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99409</xdr:colOff>
      <xdr:row>49</xdr:row>
      <xdr:rowOff>134278</xdr:rowOff>
    </xdr:from>
    <xdr:to>
      <xdr:col>33</xdr:col>
      <xdr:colOff>204451</xdr:colOff>
      <xdr:row>68</xdr:row>
      <xdr:rowOff>84474</xdr:rowOff>
    </xdr:to>
    <xdr:graphicFrame macro="">
      <xdr:nvGraphicFramePr>
        <xdr:cNvPr id="9" name="Chart 8">
          <a:extLst>
            <a:ext uri="{FF2B5EF4-FFF2-40B4-BE49-F238E27FC236}">
              <a16:creationId xmlns:a16="http://schemas.microsoft.com/office/drawing/2014/main" id="{ACCBDE81-FEC8-4248-A902-1E56AE8D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234309</xdr:colOff>
      <xdr:row>46</xdr:row>
      <xdr:rowOff>100083</xdr:rowOff>
    </xdr:from>
    <xdr:to>
      <xdr:col>11</xdr:col>
      <xdr:colOff>217147</xdr:colOff>
      <xdr:row>63</xdr:row>
      <xdr:rowOff>82921</xdr:rowOff>
    </xdr:to>
    <xdr:sp macro="" textlink="">
      <xdr:nvSpPr>
        <xdr:cNvPr id="10" name="TextBox 9">
          <a:extLst>
            <a:ext uri="{FF2B5EF4-FFF2-40B4-BE49-F238E27FC236}">
              <a16:creationId xmlns:a16="http://schemas.microsoft.com/office/drawing/2014/main" id="{FC3D3D12-0DBD-0478-3D7E-B4AB74120571}"/>
            </a:ext>
          </a:extLst>
        </xdr:cNvPr>
        <xdr:cNvSpPr txBox="1"/>
      </xdr:nvSpPr>
      <xdr:spPr>
        <a:xfrm>
          <a:off x="234309" y="8401872"/>
          <a:ext cx="7261943" cy="305089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4000">
              <a:solidFill>
                <a:schemeClr val="bg1"/>
              </a:solidFill>
            </a:rPr>
            <a:t>Sales Performance</a:t>
          </a:r>
          <a:r>
            <a:rPr lang="en-ZA" sz="4000" baseline="0">
              <a:solidFill>
                <a:schemeClr val="bg1"/>
              </a:solidFill>
            </a:rPr>
            <a:t> Dashbord</a:t>
          </a:r>
          <a:endParaRPr lang="en-ZA" sz="40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inyiko Mnisi" refreshedDate="46125.543174999999" createdVersion="8" refreshedVersion="8" minRefreshableVersion="3" recordCount="50">
  <cacheSource type="worksheet">
    <worksheetSource name="Table3"/>
  </cacheSource>
  <cacheFields count="10">
    <cacheField name="OrderID" numFmtId="0">
      <sharedItems containsSemiMixedTypes="0" containsString="0" containsNumber="1" containsInteger="1" minValue="1001" maxValue="1050"/>
    </cacheField>
    <cacheField name="Date" numFmtId="14">
      <sharedItems containsSemiMixedTypes="0" containsNonDate="0" containsDate="1" containsString="0" minDate="2025-01-03T00:00:00" maxDate="2025-05-21T00:00:00"/>
    </cacheField>
    <cacheField name="Product" numFmtId="0">
      <sharedItems count="10">
        <s v="Laptop"/>
        <s v="Phone"/>
        <s v="Desk"/>
        <s v="Chair"/>
        <s v="Tablet"/>
        <s v="Monitor"/>
        <s v="Sofa"/>
        <s v="Headphones"/>
        <s v="Mouse"/>
        <s v="Keyboard"/>
      </sharedItems>
    </cacheField>
    <cacheField name="Category" numFmtId="0">
      <sharedItems count="2">
        <s v="Electronics"/>
        <s v="Furniture"/>
      </sharedItems>
    </cacheField>
    <cacheField name="Region" numFmtId="0">
      <sharedItems count="5">
        <s v="Gauteng"/>
        <s v="Western Cape"/>
        <s v="Kwazulu-Natal"/>
        <s v="Eastern Cape"/>
        <s v="Free State"/>
      </sharedItems>
    </cacheField>
    <cacheField name="Quantity" numFmtId="0">
      <sharedItems containsSemiMixedTypes="0" containsString="0" containsNumber="1" containsInteger="1" minValue="1" maxValue="9"/>
    </cacheField>
    <cacheField name="Price" numFmtId="0">
      <sharedItems containsSemiMixedTypes="0" containsString="0" containsNumber="1" containsInteger="1" minValue="500" maxValue="15000"/>
    </cacheField>
    <cacheField name="Revenue" numFmtId="0">
      <sharedItems containsSemiMixedTypes="0" containsString="0" containsNumber="1" containsInteger="1" minValue="2100" maxValue="45000"/>
    </cacheField>
    <cacheField name="Month" numFmtId="0">
      <sharedItems containsMixedTypes="1" containsNumber="1" containsInteger="1" minValue="1" maxValue="5" count="10">
        <s v="January"/>
        <s v="February"/>
        <s v="March"/>
        <s v="April"/>
        <s v="May"/>
        <n v="1" u="1"/>
        <n v="2" u="1"/>
        <n v="3" u="1"/>
        <n v="4" u="1"/>
        <n v="5" u="1"/>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84813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5-01-03T00:00:00"/>
    <x v="0"/>
    <x v="0"/>
    <x v="0"/>
    <n v="2"/>
    <n v="15000"/>
    <n v="30000"/>
    <x v="0"/>
    <n v="2025"/>
  </r>
  <r>
    <n v="1002"/>
    <d v="2025-01-05T00:00:00"/>
    <x v="1"/>
    <x v="0"/>
    <x v="1"/>
    <n v="3"/>
    <n v="8000"/>
    <n v="24000"/>
    <x v="0"/>
    <n v="2025"/>
  </r>
  <r>
    <n v="1003"/>
    <d v="2025-01-06T00:00:00"/>
    <x v="2"/>
    <x v="1"/>
    <x v="2"/>
    <n v="1"/>
    <n v="3000"/>
    <n v="3000"/>
    <x v="0"/>
    <n v="2025"/>
  </r>
  <r>
    <n v="1004"/>
    <d v="2025-01-08T00:00:00"/>
    <x v="3"/>
    <x v="1"/>
    <x v="0"/>
    <n v="4"/>
    <n v="1200"/>
    <n v="4800"/>
    <x v="0"/>
    <n v="2025"/>
  </r>
  <r>
    <n v="1005"/>
    <d v="2025-01-10T00:00:00"/>
    <x v="4"/>
    <x v="0"/>
    <x v="3"/>
    <n v="2"/>
    <n v="6000"/>
    <n v="12000"/>
    <x v="0"/>
    <n v="2025"/>
  </r>
  <r>
    <n v="1006"/>
    <d v="2025-01-12T00:00:00"/>
    <x v="5"/>
    <x v="0"/>
    <x v="0"/>
    <n v="3"/>
    <n v="4000"/>
    <n v="12000"/>
    <x v="0"/>
    <n v="2025"/>
  </r>
  <r>
    <n v="1007"/>
    <d v="2025-01-15T00:00:00"/>
    <x v="6"/>
    <x v="1"/>
    <x v="1"/>
    <n v="1"/>
    <n v="10000"/>
    <n v="10000"/>
    <x v="0"/>
    <n v="2025"/>
  </r>
  <r>
    <n v="1008"/>
    <d v="2025-01-18T00:00:00"/>
    <x v="7"/>
    <x v="0"/>
    <x v="4"/>
    <n v="5"/>
    <n v="1500"/>
    <n v="7500"/>
    <x v="0"/>
    <n v="2025"/>
  </r>
  <r>
    <n v="1009"/>
    <d v="2025-01-20T00:00:00"/>
    <x v="8"/>
    <x v="0"/>
    <x v="0"/>
    <n v="6"/>
    <n v="500"/>
    <n v="3000"/>
    <x v="0"/>
    <n v="2025"/>
  </r>
  <r>
    <n v="1010"/>
    <d v="2025-01-22T00:00:00"/>
    <x v="9"/>
    <x v="0"/>
    <x v="2"/>
    <n v="4"/>
    <n v="700"/>
    <n v="2800"/>
    <x v="0"/>
    <n v="2025"/>
  </r>
  <r>
    <n v="1011"/>
    <d v="2025-02-01T00:00:00"/>
    <x v="0"/>
    <x v="0"/>
    <x v="0"/>
    <n v="1"/>
    <n v="15000"/>
    <n v="15000"/>
    <x v="1"/>
    <n v="2025"/>
  </r>
  <r>
    <n v="1012"/>
    <d v="2025-02-03T00:00:00"/>
    <x v="2"/>
    <x v="1"/>
    <x v="3"/>
    <n v="2"/>
    <n v="3000"/>
    <n v="6000"/>
    <x v="1"/>
    <n v="2025"/>
  </r>
  <r>
    <n v="1013"/>
    <d v="2025-02-05T00:00:00"/>
    <x v="3"/>
    <x v="1"/>
    <x v="0"/>
    <n v="5"/>
    <n v="1200"/>
    <n v="6000"/>
    <x v="1"/>
    <n v="2025"/>
  </r>
  <r>
    <n v="1014"/>
    <d v="2025-02-07T00:00:00"/>
    <x v="1"/>
    <x v="0"/>
    <x v="1"/>
    <n v="2"/>
    <n v="8000"/>
    <n v="16000"/>
    <x v="1"/>
    <n v="2025"/>
  </r>
  <r>
    <n v="1015"/>
    <d v="2025-02-10T00:00:00"/>
    <x v="4"/>
    <x v="0"/>
    <x v="2"/>
    <n v="3"/>
    <n v="6000"/>
    <n v="18000"/>
    <x v="1"/>
    <n v="2025"/>
  </r>
  <r>
    <n v="1016"/>
    <d v="2025-02-12T00:00:00"/>
    <x v="5"/>
    <x v="0"/>
    <x v="0"/>
    <n v="2"/>
    <n v="4000"/>
    <n v="8000"/>
    <x v="1"/>
    <n v="2025"/>
  </r>
  <r>
    <n v="1017"/>
    <d v="2025-02-14T00:00:00"/>
    <x v="6"/>
    <x v="1"/>
    <x v="4"/>
    <n v="1"/>
    <n v="10000"/>
    <n v="10000"/>
    <x v="1"/>
    <n v="2025"/>
  </r>
  <r>
    <n v="1018"/>
    <d v="2025-02-16T00:00:00"/>
    <x v="8"/>
    <x v="0"/>
    <x v="0"/>
    <n v="7"/>
    <n v="500"/>
    <n v="3500"/>
    <x v="1"/>
    <n v="2025"/>
  </r>
  <r>
    <n v="1019"/>
    <d v="2025-02-18T00:00:00"/>
    <x v="9"/>
    <x v="0"/>
    <x v="1"/>
    <n v="3"/>
    <n v="700"/>
    <n v="2100"/>
    <x v="1"/>
    <n v="2025"/>
  </r>
  <r>
    <n v="1020"/>
    <d v="2025-02-20T00:00:00"/>
    <x v="7"/>
    <x v="0"/>
    <x v="3"/>
    <n v="4"/>
    <n v="1500"/>
    <n v="6000"/>
    <x v="1"/>
    <n v="2025"/>
  </r>
  <r>
    <n v="1021"/>
    <d v="2025-03-02T00:00:00"/>
    <x v="0"/>
    <x v="0"/>
    <x v="0"/>
    <n v="3"/>
    <n v="15000"/>
    <n v="45000"/>
    <x v="2"/>
    <n v="2025"/>
  </r>
  <r>
    <n v="1022"/>
    <d v="2025-03-04T00:00:00"/>
    <x v="2"/>
    <x v="1"/>
    <x v="2"/>
    <n v="2"/>
    <n v="3000"/>
    <n v="6000"/>
    <x v="2"/>
    <n v="2025"/>
  </r>
  <r>
    <n v="1023"/>
    <d v="2025-03-06T00:00:00"/>
    <x v="3"/>
    <x v="1"/>
    <x v="0"/>
    <n v="6"/>
    <n v="1200"/>
    <n v="7200"/>
    <x v="2"/>
    <n v="2025"/>
  </r>
  <r>
    <n v="1024"/>
    <d v="2025-03-08T00:00:00"/>
    <x v="1"/>
    <x v="0"/>
    <x v="1"/>
    <n v="4"/>
    <n v="8000"/>
    <n v="32000"/>
    <x v="2"/>
    <n v="2025"/>
  </r>
  <r>
    <n v="1025"/>
    <d v="2025-03-10T00:00:00"/>
    <x v="4"/>
    <x v="0"/>
    <x v="0"/>
    <n v="2"/>
    <n v="6000"/>
    <n v="12000"/>
    <x v="2"/>
    <n v="2025"/>
  </r>
  <r>
    <n v="1026"/>
    <d v="2025-03-12T00:00:00"/>
    <x v="5"/>
    <x v="0"/>
    <x v="4"/>
    <n v="3"/>
    <n v="4000"/>
    <n v="12000"/>
    <x v="2"/>
    <n v="2025"/>
  </r>
  <r>
    <n v="1027"/>
    <d v="2025-03-14T00:00:00"/>
    <x v="6"/>
    <x v="1"/>
    <x v="3"/>
    <n v="1"/>
    <n v="10000"/>
    <n v="10000"/>
    <x v="2"/>
    <n v="2025"/>
  </r>
  <r>
    <n v="1028"/>
    <d v="2025-03-16T00:00:00"/>
    <x v="8"/>
    <x v="0"/>
    <x v="0"/>
    <n v="8"/>
    <n v="500"/>
    <n v="4000"/>
    <x v="2"/>
    <n v="2025"/>
  </r>
  <r>
    <n v="1029"/>
    <d v="2025-03-18T00:00:00"/>
    <x v="9"/>
    <x v="0"/>
    <x v="2"/>
    <n v="5"/>
    <n v="700"/>
    <n v="3500"/>
    <x v="2"/>
    <n v="2025"/>
  </r>
  <r>
    <n v="1030"/>
    <d v="2025-03-20T00:00:00"/>
    <x v="7"/>
    <x v="0"/>
    <x v="0"/>
    <n v="6"/>
    <n v="1500"/>
    <n v="9000"/>
    <x v="2"/>
    <n v="2025"/>
  </r>
  <r>
    <n v="1031"/>
    <d v="2025-04-01T00:00:00"/>
    <x v="0"/>
    <x v="0"/>
    <x v="1"/>
    <n v="2"/>
    <n v="15000"/>
    <n v="30000"/>
    <x v="3"/>
    <n v="2025"/>
  </r>
  <r>
    <n v="1032"/>
    <d v="2025-04-03T00:00:00"/>
    <x v="2"/>
    <x v="1"/>
    <x v="0"/>
    <n v="3"/>
    <n v="3000"/>
    <n v="9000"/>
    <x v="3"/>
    <n v="2025"/>
  </r>
  <r>
    <n v="1033"/>
    <d v="2025-04-05T00:00:00"/>
    <x v="3"/>
    <x v="1"/>
    <x v="4"/>
    <n v="4"/>
    <n v="1200"/>
    <n v="4800"/>
    <x v="3"/>
    <n v="2025"/>
  </r>
  <r>
    <n v="1034"/>
    <d v="2025-04-07T00:00:00"/>
    <x v="1"/>
    <x v="0"/>
    <x v="0"/>
    <n v="5"/>
    <n v="8000"/>
    <n v="40000"/>
    <x v="3"/>
    <n v="2025"/>
  </r>
  <r>
    <n v="1035"/>
    <d v="2025-04-09T00:00:00"/>
    <x v="4"/>
    <x v="0"/>
    <x v="3"/>
    <n v="2"/>
    <n v="6000"/>
    <n v="12000"/>
    <x v="3"/>
    <n v="2025"/>
  </r>
  <r>
    <n v="1036"/>
    <d v="2025-04-11T00:00:00"/>
    <x v="5"/>
    <x v="0"/>
    <x v="2"/>
    <n v="3"/>
    <n v="4000"/>
    <n v="12000"/>
    <x v="3"/>
    <n v="2025"/>
  </r>
  <r>
    <n v="1037"/>
    <d v="2025-04-13T00:00:00"/>
    <x v="6"/>
    <x v="1"/>
    <x v="0"/>
    <n v="1"/>
    <n v="10000"/>
    <n v="10000"/>
    <x v="3"/>
    <n v="2025"/>
  </r>
  <r>
    <n v="1038"/>
    <d v="2025-04-15T00:00:00"/>
    <x v="8"/>
    <x v="0"/>
    <x v="1"/>
    <n v="6"/>
    <n v="500"/>
    <n v="3000"/>
    <x v="3"/>
    <n v="2025"/>
  </r>
  <r>
    <n v="1039"/>
    <d v="2025-04-17T00:00:00"/>
    <x v="9"/>
    <x v="0"/>
    <x v="0"/>
    <n v="7"/>
    <n v="700"/>
    <n v="4900"/>
    <x v="3"/>
    <n v="2025"/>
  </r>
  <r>
    <n v="1040"/>
    <d v="2025-04-19T00:00:00"/>
    <x v="7"/>
    <x v="0"/>
    <x v="0"/>
    <n v="5"/>
    <n v="1500"/>
    <n v="7500"/>
    <x v="3"/>
    <n v="2025"/>
  </r>
  <r>
    <n v="1041"/>
    <d v="2025-05-02T00:00:00"/>
    <x v="0"/>
    <x v="0"/>
    <x v="0"/>
    <n v="2"/>
    <n v="15000"/>
    <n v="30000"/>
    <x v="4"/>
    <n v="2025"/>
  </r>
  <r>
    <n v="1042"/>
    <d v="2025-05-04T00:00:00"/>
    <x v="2"/>
    <x v="1"/>
    <x v="1"/>
    <n v="1"/>
    <n v="3000"/>
    <n v="3000"/>
    <x v="4"/>
    <n v="2025"/>
  </r>
  <r>
    <n v="1043"/>
    <d v="2025-05-06T00:00:00"/>
    <x v="3"/>
    <x v="1"/>
    <x v="0"/>
    <n v="5"/>
    <n v="1200"/>
    <n v="6000"/>
    <x v="4"/>
    <n v="2025"/>
  </r>
  <r>
    <n v="1044"/>
    <d v="2025-05-08T00:00:00"/>
    <x v="1"/>
    <x v="0"/>
    <x v="0"/>
    <n v="4"/>
    <n v="8000"/>
    <n v="32000"/>
    <x v="4"/>
    <n v="2025"/>
  </r>
  <r>
    <n v="1045"/>
    <d v="2025-05-10T00:00:00"/>
    <x v="4"/>
    <x v="0"/>
    <x v="2"/>
    <n v="3"/>
    <n v="6000"/>
    <n v="18000"/>
    <x v="4"/>
    <n v="2025"/>
  </r>
  <r>
    <n v="1046"/>
    <d v="2025-05-12T00:00:00"/>
    <x v="5"/>
    <x v="0"/>
    <x v="0"/>
    <n v="2"/>
    <n v="4000"/>
    <n v="8000"/>
    <x v="4"/>
    <n v="2025"/>
  </r>
  <r>
    <n v="1047"/>
    <d v="2025-05-14T00:00:00"/>
    <x v="6"/>
    <x v="1"/>
    <x v="3"/>
    <n v="1"/>
    <n v="10000"/>
    <n v="10000"/>
    <x v="4"/>
    <n v="2025"/>
  </r>
  <r>
    <n v="1048"/>
    <d v="2025-05-16T00:00:00"/>
    <x v="8"/>
    <x v="0"/>
    <x v="0"/>
    <n v="9"/>
    <n v="500"/>
    <n v="4500"/>
    <x v="4"/>
    <n v="2025"/>
  </r>
  <r>
    <n v="1049"/>
    <d v="2025-05-18T00:00:00"/>
    <x v="9"/>
    <x v="0"/>
    <x v="1"/>
    <n v="4"/>
    <n v="700"/>
    <n v="2800"/>
    <x v="4"/>
    <n v="2025"/>
  </r>
  <r>
    <n v="1050"/>
    <d v="2025-05-20T00:00:00"/>
    <x v="7"/>
    <x v="0"/>
    <x v="4"/>
    <n v="6"/>
    <n v="1500"/>
    <n v="9000"/>
    <x v="4"/>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W1:X4" firstHeaderRow="1" firstDataRow="1" firstDataCol="1"/>
  <pivotFields count="10">
    <pivotField showAll="0"/>
    <pivotField numFmtId="14" showAll="0"/>
    <pivotField showAll="0"/>
    <pivotField axis="axisRow" showAll="0">
      <items count="3">
        <item x="0"/>
        <item x="1"/>
        <item t="default"/>
      </items>
    </pivotField>
    <pivotField showAll="0">
      <items count="6">
        <item x="3"/>
        <item x="4"/>
        <item x="0"/>
        <item x="2"/>
        <item x="1"/>
        <item t="default"/>
      </items>
    </pivotField>
    <pivotField showAll="0"/>
    <pivotField showAll="0"/>
    <pivotField dataField="1" showAll="0"/>
    <pivotField showAll="0"/>
    <pivotField showAll="0"/>
  </pivotFields>
  <rowFields count="1">
    <field x="3"/>
  </rowFields>
  <rowItems count="3">
    <i>
      <x/>
    </i>
    <i>
      <x v="1"/>
    </i>
    <i t="grand">
      <x/>
    </i>
  </rowItems>
  <colItems count="1">
    <i/>
  </colItems>
  <dataFields count="1">
    <dataField name="Sum of Revenue" fld="7"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O7" firstHeaderRow="1" firstDataRow="1" firstDataCol="1"/>
  <pivotFields count="10">
    <pivotField showAll="0"/>
    <pivotField numFmtId="14" showAll="0"/>
    <pivotField axis="axisRow" showAll="0" measureFilter="1" sortType="descending">
      <items count="11">
        <item x="4"/>
        <item x="6"/>
        <item x="1"/>
        <item x="8"/>
        <item x="5"/>
        <item x="0"/>
        <item x="9"/>
        <item x="7"/>
        <item x="2"/>
        <item x="3"/>
        <item t="default"/>
      </items>
    </pivotField>
    <pivotField showAll="0"/>
    <pivotField showAll="0">
      <items count="6">
        <item x="3"/>
        <item x="4"/>
        <item x="0"/>
        <item x="2"/>
        <item x="1"/>
        <item t="default"/>
      </items>
    </pivotField>
    <pivotField showAll="0"/>
    <pivotField showAll="0"/>
    <pivotField dataField="1" showAll="0"/>
    <pivotField showAll="0"/>
    <pivotField showAll="0"/>
  </pivotFields>
  <rowFields count="1">
    <field x="2"/>
  </rowFields>
  <rowItems count="6">
    <i>
      <x/>
    </i>
    <i>
      <x v="1"/>
    </i>
    <i>
      <x v="2"/>
    </i>
    <i>
      <x v="4"/>
    </i>
    <i>
      <x v="5"/>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7" firstHeaderRow="1" firstDataRow="1" firstDataCol="1"/>
  <pivotFields count="10">
    <pivotField showAll="0"/>
    <pivotField numFmtId="14" showAll="0"/>
    <pivotField showAll="0"/>
    <pivotField showAll="0"/>
    <pivotField showAll="0">
      <items count="6">
        <item x="3"/>
        <item x="4"/>
        <item x="0"/>
        <item x="2"/>
        <item x="1"/>
        <item t="default"/>
      </items>
    </pivotField>
    <pivotField showAll="0"/>
    <pivotField showAll="0"/>
    <pivotField dataField="1" showAll="0"/>
    <pivotField axis="axisRow" showAll="0">
      <items count="11">
        <item m="1" x="5"/>
        <item m="1" x="6"/>
        <item m="1" x="7"/>
        <item m="1" x="8"/>
        <item m="1" x="9"/>
        <item x="0"/>
        <item x="1"/>
        <item x="2"/>
        <item x="3"/>
        <item x="4"/>
        <item t="default"/>
      </items>
    </pivotField>
    <pivotField showAll="0"/>
  </pivotFields>
  <rowFields count="1">
    <field x="8"/>
  </rowFields>
  <rowItems count="6">
    <i>
      <x v="5"/>
    </i>
    <i>
      <x v="6"/>
    </i>
    <i>
      <x v="7"/>
    </i>
    <i>
      <x v="8"/>
    </i>
    <i>
      <x v="9"/>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A1:B7" firstHeaderRow="1" firstDataRow="1" firstDataCol="1"/>
  <pivotFields count="10">
    <pivotField showAll="0"/>
    <pivotField numFmtId="14" showAll="0"/>
    <pivotField showAll="0"/>
    <pivotField showAll="0">
      <items count="3">
        <item h="1" x="0"/>
        <item x="1"/>
        <item t="default"/>
      </items>
    </pivotField>
    <pivotField axis="axisRow" showAll="0">
      <items count="6">
        <item x="3"/>
        <item x="4"/>
        <item x="0"/>
        <item x="2"/>
        <item x="1"/>
        <item t="default"/>
      </items>
    </pivotField>
    <pivotField showAll="0"/>
    <pivotField showAll="0"/>
    <pivotField dataField="1" showAll="0"/>
    <pivotField showAll="0"/>
    <pivotField showAll="0"/>
  </pivotFields>
  <rowFields count="1">
    <field x="4"/>
  </rowFields>
  <rowItems count="6">
    <i>
      <x/>
    </i>
    <i>
      <x v="1"/>
    </i>
    <i>
      <x v="2"/>
    </i>
    <i>
      <x v="3"/>
    </i>
    <i>
      <x v="4"/>
    </i>
    <i t="grand">
      <x/>
    </i>
  </rowItems>
  <colItems count="1">
    <i/>
  </colItems>
  <dataFields count="1">
    <dataField name="Sum of Revenue" fld="7" baseField="0" baseItem="0"/>
  </dataFields>
  <chartFormats count="5">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3"/>
  </pivotTables>
  <data>
    <tabular pivotCacheId="848133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0"/>
    <pivotTable tabId="3" name="PivotTable6"/>
    <pivotTable tabId="3" name="PivotTable8"/>
  </pivotTables>
  <data>
    <tabular pivotCacheId="84813344">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51883"/>
  <slicer name="Region" cache="Slicer_Region" caption="Region" rowHeight="251883"/>
</slicers>
</file>

<file path=xl/tables/table1.xml><?xml version="1.0" encoding="utf-8"?>
<table xmlns="http://schemas.openxmlformats.org/spreadsheetml/2006/main" id="3" name="Table3" displayName="Table3" ref="A1:J51" totalsRowShown="0">
  <autoFilter ref="A1:J51"/>
  <tableColumns count="10">
    <tableColumn id="1" name="OrderID"/>
    <tableColumn id="2" name="Date" dataDxfId="4"/>
    <tableColumn id="3" name="Product"/>
    <tableColumn id="4" name="Category"/>
    <tableColumn id="5" name="Region"/>
    <tableColumn id="6" name="Quantity" dataDxfId="3"/>
    <tableColumn id="7" name="Price"/>
    <tableColumn id="8" name="Revenue" dataDxfId="2">
      <calculatedColumnFormula>Table3[[#This Row],[Price]]*Table3[[#This Row],[Quantity]]</calculatedColumnFormula>
    </tableColumn>
    <tableColumn id="9" name="Month" dataDxfId="1">
      <calculatedColumnFormula>TEXT(Table3[[#This Row],[Date]],"mmmm")</calculatedColumnFormula>
    </tableColumn>
    <tableColumn id="10" name="Year" dataDxfId="0">
      <calculatedColumnFormula>YEAR(Table3[[#This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topLeftCell="F1" zoomScale="115" zoomScaleNormal="115" workbookViewId="0">
      <selection activeCell="O11" sqref="O11"/>
    </sheetView>
  </sheetViews>
  <sheetFormatPr defaultRowHeight="13.8"/>
  <cols>
    <col min="1" max="1" width="12.796875" customWidth="1"/>
    <col min="2" max="4" width="10.5" customWidth="1"/>
    <col min="5" max="5" width="10.59765625" customWidth="1"/>
    <col min="6" max="6" width="10" customWidth="1"/>
    <col min="13" max="13" width="12.5" bestFit="1" customWidth="1"/>
    <col min="14" max="15" width="14.3984375" bestFit="1" customWidth="1"/>
    <col min="16" max="26" width="4.796875" bestFit="1" customWidth="1"/>
    <col min="27" max="36" width="5.796875" bestFit="1" customWidth="1"/>
    <col min="37" max="37" width="10.3984375" bestFit="1" customWidth="1"/>
  </cols>
  <sheetData>
    <row r="1" spans="1:10">
      <c r="A1" t="s">
        <v>2</v>
      </c>
      <c r="B1" t="s">
        <v>3</v>
      </c>
      <c r="C1" t="s">
        <v>4</v>
      </c>
      <c r="D1" t="s">
        <v>5</v>
      </c>
      <c r="E1" t="s">
        <v>6</v>
      </c>
      <c r="F1" t="s">
        <v>7</v>
      </c>
      <c r="G1" t="s">
        <v>8</v>
      </c>
      <c r="H1" t="s">
        <v>24</v>
      </c>
      <c r="I1" s="12" t="s">
        <v>25</v>
      </c>
      <c r="J1" t="s">
        <v>26</v>
      </c>
    </row>
    <row r="2" spans="1:10">
      <c r="A2">
        <v>1001</v>
      </c>
      <c r="B2" s="1">
        <v>45660</v>
      </c>
      <c r="C2" t="s">
        <v>9</v>
      </c>
      <c r="D2" t="s">
        <v>0</v>
      </c>
      <c r="E2" t="s">
        <v>10</v>
      </c>
      <c r="F2">
        <v>2</v>
      </c>
      <c r="G2">
        <v>15000</v>
      </c>
      <c r="H2">
        <f>Table3[[#This Row],[Price]]*Table3[[#This Row],[Quantity]]</f>
        <v>30000</v>
      </c>
      <c r="I2" t="str">
        <f>TEXT(Table3[[#This Row],[Date]],"mmmm")</f>
        <v>January</v>
      </c>
      <c r="J2">
        <f>YEAR(Table3[[#This Row],[Date]])</f>
        <v>2025</v>
      </c>
    </row>
    <row r="3" spans="1:10">
      <c r="A3">
        <v>1002</v>
      </c>
      <c r="B3" s="1">
        <v>45662</v>
      </c>
      <c r="C3" t="s">
        <v>11</v>
      </c>
      <c r="D3" t="s">
        <v>0</v>
      </c>
      <c r="E3" t="s">
        <v>12</v>
      </c>
      <c r="F3" s="2">
        <v>3</v>
      </c>
      <c r="G3">
        <v>8000</v>
      </c>
      <c r="H3">
        <f>Table3[[#This Row],[Price]]*Table3[[#This Row],[Quantity]]</f>
        <v>24000</v>
      </c>
      <c r="I3" t="str">
        <f>TEXT(Table3[[#This Row],[Date]],"mmmm")</f>
        <v>January</v>
      </c>
      <c r="J3">
        <f>YEAR(Table3[[#This Row],[Date]])</f>
        <v>2025</v>
      </c>
    </row>
    <row r="4" spans="1:10">
      <c r="A4">
        <v>1003</v>
      </c>
      <c r="B4" s="1">
        <v>45663</v>
      </c>
      <c r="C4" t="s">
        <v>13</v>
      </c>
      <c r="D4" t="s">
        <v>14</v>
      </c>
      <c r="E4" t="s">
        <v>15</v>
      </c>
      <c r="F4" s="2">
        <v>1</v>
      </c>
      <c r="G4">
        <v>3000</v>
      </c>
      <c r="H4">
        <f>Table3[[#This Row],[Price]]*Table3[[#This Row],[Quantity]]</f>
        <v>3000</v>
      </c>
      <c r="I4" t="str">
        <f>TEXT(Table3[[#This Row],[Date]],"mmmm")</f>
        <v>January</v>
      </c>
      <c r="J4">
        <f>YEAR(Table3[[#This Row],[Date]])</f>
        <v>2025</v>
      </c>
    </row>
    <row r="5" spans="1:10">
      <c r="A5">
        <v>1004</v>
      </c>
      <c r="B5" s="1">
        <v>45665</v>
      </c>
      <c r="C5" t="s">
        <v>16</v>
      </c>
      <c r="D5" t="s">
        <v>14</v>
      </c>
      <c r="E5" t="s">
        <v>10</v>
      </c>
      <c r="F5" s="2">
        <v>4</v>
      </c>
      <c r="G5">
        <v>1200</v>
      </c>
      <c r="H5">
        <f>Table3[[#This Row],[Price]]*Table3[[#This Row],[Quantity]]</f>
        <v>4800</v>
      </c>
      <c r="I5" t="str">
        <f>TEXT(Table3[[#This Row],[Date]],"mmmm")</f>
        <v>January</v>
      </c>
      <c r="J5">
        <f>YEAR(Table3[[#This Row],[Date]])</f>
        <v>2025</v>
      </c>
    </row>
    <row r="6" spans="1:10">
      <c r="A6">
        <v>1005</v>
      </c>
      <c r="B6" s="1">
        <v>45667</v>
      </c>
      <c r="C6" t="s">
        <v>17</v>
      </c>
      <c r="D6" t="s">
        <v>0</v>
      </c>
      <c r="E6" t="s">
        <v>18</v>
      </c>
      <c r="F6" s="2">
        <v>2</v>
      </c>
      <c r="G6">
        <v>6000</v>
      </c>
      <c r="H6">
        <f>Table3[[#This Row],[Price]]*Table3[[#This Row],[Quantity]]</f>
        <v>12000</v>
      </c>
      <c r="I6" t="str">
        <f>TEXT(Table3[[#This Row],[Date]],"mmmm")</f>
        <v>January</v>
      </c>
      <c r="J6">
        <f>YEAR(Table3[[#This Row],[Date]])</f>
        <v>2025</v>
      </c>
    </row>
    <row r="7" spans="1:10">
      <c r="A7">
        <v>1006</v>
      </c>
      <c r="B7" s="1">
        <v>45669</v>
      </c>
      <c r="C7" t="s">
        <v>1</v>
      </c>
      <c r="D7" t="s">
        <v>0</v>
      </c>
      <c r="E7" t="s">
        <v>10</v>
      </c>
      <c r="F7" s="2">
        <v>3</v>
      </c>
      <c r="G7">
        <v>4000</v>
      </c>
      <c r="H7">
        <f>Table3[[#This Row],[Price]]*Table3[[#This Row],[Quantity]]</f>
        <v>12000</v>
      </c>
      <c r="I7" t="str">
        <f>TEXT(Table3[[#This Row],[Date]],"mmmm")</f>
        <v>January</v>
      </c>
      <c r="J7">
        <f>YEAR(Table3[[#This Row],[Date]])</f>
        <v>2025</v>
      </c>
    </row>
    <row r="8" spans="1:10">
      <c r="A8">
        <v>1007</v>
      </c>
      <c r="B8" s="1">
        <v>45672</v>
      </c>
      <c r="C8" t="s">
        <v>19</v>
      </c>
      <c r="D8" t="s">
        <v>14</v>
      </c>
      <c r="E8" t="s">
        <v>12</v>
      </c>
      <c r="F8" s="2">
        <v>1</v>
      </c>
      <c r="G8">
        <v>10000</v>
      </c>
      <c r="H8">
        <f>Table3[[#This Row],[Price]]*Table3[[#This Row],[Quantity]]</f>
        <v>10000</v>
      </c>
      <c r="I8" t="str">
        <f>TEXT(Table3[[#This Row],[Date]],"mmmm")</f>
        <v>January</v>
      </c>
      <c r="J8">
        <f>YEAR(Table3[[#This Row],[Date]])</f>
        <v>2025</v>
      </c>
    </row>
    <row r="9" spans="1:10">
      <c r="A9">
        <v>1008</v>
      </c>
      <c r="B9" s="1">
        <v>45675</v>
      </c>
      <c r="C9" t="s">
        <v>20</v>
      </c>
      <c r="D9" t="s">
        <v>0</v>
      </c>
      <c r="E9" t="s">
        <v>21</v>
      </c>
      <c r="F9" s="2">
        <v>5</v>
      </c>
      <c r="G9">
        <v>1500</v>
      </c>
      <c r="H9">
        <f>Table3[[#This Row],[Price]]*Table3[[#This Row],[Quantity]]</f>
        <v>7500</v>
      </c>
      <c r="I9" t="str">
        <f>TEXT(Table3[[#This Row],[Date]],"mmmm")</f>
        <v>January</v>
      </c>
      <c r="J9">
        <f>YEAR(Table3[[#This Row],[Date]])</f>
        <v>2025</v>
      </c>
    </row>
    <row r="10" spans="1:10">
      <c r="A10">
        <v>1009</v>
      </c>
      <c r="B10" s="1">
        <v>45677</v>
      </c>
      <c r="C10" t="s">
        <v>22</v>
      </c>
      <c r="D10" t="s">
        <v>0</v>
      </c>
      <c r="E10" t="s">
        <v>10</v>
      </c>
      <c r="F10" s="2">
        <v>6</v>
      </c>
      <c r="G10">
        <v>500</v>
      </c>
      <c r="H10">
        <f>Table3[[#This Row],[Price]]*Table3[[#This Row],[Quantity]]</f>
        <v>3000</v>
      </c>
      <c r="I10" t="str">
        <f>TEXT(Table3[[#This Row],[Date]],"mmmm")</f>
        <v>January</v>
      </c>
      <c r="J10">
        <f>YEAR(Table3[[#This Row],[Date]])</f>
        <v>2025</v>
      </c>
    </row>
    <row r="11" spans="1:10">
      <c r="A11">
        <v>1010</v>
      </c>
      <c r="B11" s="1">
        <v>45679</v>
      </c>
      <c r="C11" t="s">
        <v>23</v>
      </c>
      <c r="D11" t="s">
        <v>0</v>
      </c>
      <c r="E11" t="s">
        <v>15</v>
      </c>
      <c r="F11" s="2">
        <v>4</v>
      </c>
      <c r="G11">
        <v>700</v>
      </c>
      <c r="H11">
        <f>Table3[[#This Row],[Price]]*Table3[[#This Row],[Quantity]]</f>
        <v>2800</v>
      </c>
      <c r="I11" t="str">
        <f>TEXT(Table3[[#This Row],[Date]],"mmmm")</f>
        <v>January</v>
      </c>
      <c r="J11">
        <f>YEAR(Table3[[#This Row],[Date]])</f>
        <v>2025</v>
      </c>
    </row>
    <row r="12" spans="1:10">
      <c r="A12">
        <v>1011</v>
      </c>
      <c r="B12" s="1">
        <v>45689</v>
      </c>
      <c r="C12" t="s">
        <v>9</v>
      </c>
      <c r="D12" t="s">
        <v>0</v>
      </c>
      <c r="E12" t="s">
        <v>10</v>
      </c>
      <c r="F12" s="2">
        <v>1</v>
      </c>
      <c r="G12">
        <v>15000</v>
      </c>
      <c r="H12">
        <f>Table3[[#This Row],[Price]]*Table3[[#This Row],[Quantity]]</f>
        <v>15000</v>
      </c>
      <c r="I12" t="str">
        <f>TEXT(Table3[[#This Row],[Date]],"mmmm")</f>
        <v>February</v>
      </c>
      <c r="J12">
        <f>YEAR(Table3[[#This Row],[Date]])</f>
        <v>2025</v>
      </c>
    </row>
    <row r="13" spans="1:10">
      <c r="A13">
        <v>1012</v>
      </c>
      <c r="B13" s="1">
        <v>45691</v>
      </c>
      <c r="C13" t="s">
        <v>13</v>
      </c>
      <c r="D13" t="s">
        <v>14</v>
      </c>
      <c r="E13" t="s">
        <v>18</v>
      </c>
      <c r="F13" s="2">
        <v>2</v>
      </c>
      <c r="G13">
        <v>3000</v>
      </c>
      <c r="H13">
        <f>Table3[[#This Row],[Price]]*Table3[[#This Row],[Quantity]]</f>
        <v>6000</v>
      </c>
      <c r="I13" t="str">
        <f>TEXT(Table3[[#This Row],[Date]],"mmmm")</f>
        <v>February</v>
      </c>
      <c r="J13">
        <f>YEAR(Table3[[#This Row],[Date]])</f>
        <v>2025</v>
      </c>
    </row>
    <row r="14" spans="1:10">
      <c r="A14">
        <v>1013</v>
      </c>
      <c r="B14" s="1">
        <v>45693</v>
      </c>
      <c r="C14" t="s">
        <v>16</v>
      </c>
      <c r="D14" t="s">
        <v>14</v>
      </c>
      <c r="E14" t="s">
        <v>10</v>
      </c>
      <c r="F14" s="2">
        <v>5</v>
      </c>
      <c r="G14">
        <v>1200</v>
      </c>
      <c r="H14">
        <f>Table3[[#This Row],[Price]]*Table3[[#This Row],[Quantity]]</f>
        <v>6000</v>
      </c>
      <c r="I14" t="str">
        <f>TEXT(Table3[[#This Row],[Date]],"mmmm")</f>
        <v>February</v>
      </c>
      <c r="J14">
        <f>YEAR(Table3[[#This Row],[Date]])</f>
        <v>2025</v>
      </c>
    </row>
    <row r="15" spans="1:10">
      <c r="A15">
        <v>1014</v>
      </c>
      <c r="B15" s="1">
        <v>45695</v>
      </c>
      <c r="C15" t="s">
        <v>11</v>
      </c>
      <c r="D15" t="s">
        <v>0</v>
      </c>
      <c r="E15" t="s">
        <v>12</v>
      </c>
      <c r="F15" s="2">
        <v>2</v>
      </c>
      <c r="G15">
        <v>8000</v>
      </c>
      <c r="H15">
        <f>Table3[[#This Row],[Price]]*Table3[[#This Row],[Quantity]]</f>
        <v>16000</v>
      </c>
      <c r="I15" t="str">
        <f>TEXT(Table3[[#This Row],[Date]],"mmmm")</f>
        <v>February</v>
      </c>
      <c r="J15">
        <f>YEAR(Table3[[#This Row],[Date]])</f>
        <v>2025</v>
      </c>
    </row>
    <row r="16" spans="1:10">
      <c r="A16">
        <v>1015</v>
      </c>
      <c r="B16" s="1">
        <v>45698</v>
      </c>
      <c r="C16" t="s">
        <v>17</v>
      </c>
      <c r="D16" t="s">
        <v>0</v>
      </c>
      <c r="E16" t="s">
        <v>15</v>
      </c>
      <c r="F16" s="2">
        <v>3</v>
      </c>
      <c r="G16">
        <v>6000</v>
      </c>
      <c r="H16">
        <f>Table3[[#This Row],[Price]]*Table3[[#This Row],[Quantity]]</f>
        <v>18000</v>
      </c>
      <c r="I16" t="str">
        <f>TEXT(Table3[[#This Row],[Date]],"mmmm")</f>
        <v>February</v>
      </c>
      <c r="J16">
        <f>YEAR(Table3[[#This Row],[Date]])</f>
        <v>2025</v>
      </c>
    </row>
    <row r="17" spans="1:10">
      <c r="A17">
        <v>1016</v>
      </c>
      <c r="B17" s="1">
        <v>45700</v>
      </c>
      <c r="C17" t="s">
        <v>1</v>
      </c>
      <c r="D17" t="s">
        <v>0</v>
      </c>
      <c r="E17" t="s">
        <v>10</v>
      </c>
      <c r="F17" s="2">
        <v>2</v>
      </c>
      <c r="G17">
        <v>4000</v>
      </c>
      <c r="H17">
        <f>Table3[[#This Row],[Price]]*Table3[[#This Row],[Quantity]]</f>
        <v>8000</v>
      </c>
      <c r="I17" t="str">
        <f>TEXT(Table3[[#This Row],[Date]],"mmmm")</f>
        <v>February</v>
      </c>
      <c r="J17">
        <f>YEAR(Table3[[#This Row],[Date]])</f>
        <v>2025</v>
      </c>
    </row>
    <row r="18" spans="1:10">
      <c r="A18">
        <v>1017</v>
      </c>
      <c r="B18" s="1">
        <v>45702</v>
      </c>
      <c r="C18" t="s">
        <v>19</v>
      </c>
      <c r="D18" t="s">
        <v>14</v>
      </c>
      <c r="E18" t="s">
        <v>21</v>
      </c>
      <c r="F18" s="2">
        <v>1</v>
      </c>
      <c r="G18">
        <v>10000</v>
      </c>
      <c r="H18">
        <f>Table3[[#This Row],[Price]]*Table3[[#This Row],[Quantity]]</f>
        <v>10000</v>
      </c>
      <c r="I18" t="str">
        <f>TEXT(Table3[[#This Row],[Date]],"mmmm")</f>
        <v>February</v>
      </c>
      <c r="J18">
        <f>YEAR(Table3[[#This Row],[Date]])</f>
        <v>2025</v>
      </c>
    </row>
    <row r="19" spans="1:10">
      <c r="A19">
        <v>1018</v>
      </c>
      <c r="B19" s="1">
        <v>45704</v>
      </c>
      <c r="C19" t="s">
        <v>22</v>
      </c>
      <c r="D19" t="s">
        <v>0</v>
      </c>
      <c r="E19" t="s">
        <v>10</v>
      </c>
      <c r="F19" s="2">
        <v>7</v>
      </c>
      <c r="G19">
        <v>500</v>
      </c>
      <c r="H19">
        <f>Table3[[#This Row],[Price]]*Table3[[#This Row],[Quantity]]</f>
        <v>3500</v>
      </c>
      <c r="I19" t="str">
        <f>TEXT(Table3[[#This Row],[Date]],"mmmm")</f>
        <v>February</v>
      </c>
      <c r="J19">
        <f>YEAR(Table3[[#This Row],[Date]])</f>
        <v>2025</v>
      </c>
    </row>
    <row r="20" spans="1:10">
      <c r="A20">
        <v>1019</v>
      </c>
      <c r="B20" s="1">
        <v>45706</v>
      </c>
      <c r="C20" t="s">
        <v>23</v>
      </c>
      <c r="D20" t="s">
        <v>0</v>
      </c>
      <c r="E20" t="s">
        <v>12</v>
      </c>
      <c r="F20" s="2">
        <v>3</v>
      </c>
      <c r="G20">
        <v>700</v>
      </c>
      <c r="H20">
        <f>Table3[[#This Row],[Price]]*Table3[[#This Row],[Quantity]]</f>
        <v>2100</v>
      </c>
      <c r="I20" t="str">
        <f>TEXT(Table3[[#This Row],[Date]],"mmmm")</f>
        <v>February</v>
      </c>
      <c r="J20">
        <f>YEAR(Table3[[#This Row],[Date]])</f>
        <v>2025</v>
      </c>
    </row>
    <row r="21" spans="1:10">
      <c r="A21">
        <v>1020</v>
      </c>
      <c r="B21" s="1">
        <v>45708</v>
      </c>
      <c r="C21" t="s">
        <v>20</v>
      </c>
      <c r="D21" t="s">
        <v>0</v>
      </c>
      <c r="E21" t="s">
        <v>18</v>
      </c>
      <c r="F21" s="2">
        <v>4</v>
      </c>
      <c r="G21">
        <v>1500</v>
      </c>
      <c r="H21">
        <f>Table3[[#This Row],[Price]]*Table3[[#This Row],[Quantity]]</f>
        <v>6000</v>
      </c>
      <c r="I21" t="str">
        <f>TEXT(Table3[[#This Row],[Date]],"mmmm")</f>
        <v>February</v>
      </c>
      <c r="J21">
        <f>YEAR(Table3[[#This Row],[Date]])</f>
        <v>2025</v>
      </c>
    </row>
    <row r="22" spans="1:10">
      <c r="A22">
        <v>1021</v>
      </c>
      <c r="B22" s="1">
        <v>45718</v>
      </c>
      <c r="C22" t="s">
        <v>9</v>
      </c>
      <c r="D22" t="s">
        <v>0</v>
      </c>
      <c r="E22" t="s">
        <v>10</v>
      </c>
      <c r="F22" s="2">
        <v>3</v>
      </c>
      <c r="G22">
        <v>15000</v>
      </c>
      <c r="H22">
        <f>Table3[[#This Row],[Price]]*Table3[[#This Row],[Quantity]]</f>
        <v>45000</v>
      </c>
      <c r="I22" t="str">
        <f>TEXT(Table3[[#This Row],[Date]],"mmmm")</f>
        <v>March</v>
      </c>
      <c r="J22">
        <f>YEAR(Table3[[#This Row],[Date]])</f>
        <v>2025</v>
      </c>
    </row>
    <row r="23" spans="1:10">
      <c r="A23">
        <v>1022</v>
      </c>
      <c r="B23" s="1">
        <v>45720</v>
      </c>
      <c r="C23" t="s">
        <v>13</v>
      </c>
      <c r="D23" t="s">
        <v>14</v>
      </c>
      <c r="E23" t="s">
        <v>15</v>
      </c>
      <c r="F23" s="2">
        <v>2</v>
      </c>
      <c r="G23">
        <v>3000</v>
      </c>
      <c r="H23">
        <f>Table3[[#This Row],[Price]]*Table3[[#This Row],[Quantity]]</f>
        <v>6000</v>
      </c>
      <c r="I23" t="str">
        <f>TEXT(Table3[[#This Row],[Date]],"mmmm")</f>
        <v>March</v>
      </c>
      <c r="J23">
        <f>YEAR(Table3[[#This Row],[Date]])</f>
        <v>2025</v>
      </c>
    </row>
    <row r="24" spans="1:10">
      <c r="A24">
        <v>1023</v>
      </c>
      <c r="B24" s="1">
        <v>45722</v>
      </c>
      <c r="C24" t="s">
        <v>16</v>
      </c>
      <c r="D24" t="s">
        <v>14</v>
      </c>
      <c r="E24" t="s">
        <v>10</v>
      </c>
      <c r="F24" s="2">
        <v>6</v>
      </c>
      <c r="G24">
        <v>1200</v>
      </c>
      <c r="H24">
        <f>Table3[[#This Row],[Price]]*Table3[[#This Row],[Quantity]]</f>
        <v>7200</v>
      </c>
      <c r="I24" t="str">
        <f>TEXT(Table3[[#This Row],[Date]],"mmmm")</f>
        <v>March</v>
      </c>
      <c r="J24">
        <f>YEAR(Table3[[#This Row],[Date]])</f>
        <v>2025</v>
      </c>
    </row>
    <row r="25" spans="1:10">
      <c r="A25">
        <v>1024</v>
      </c>
      <c r="B25" s="1">
        <v>45724</v>
      </c>
      <c r="C25" t="s">
        <v>11</v>
      </c>
      <c r="D25" t="s">
        <v>0</v>
      </c>
      <c r="E25" t="s">
        <v>12</v>
      </c>
      <c r="F25" s="2">
        <v>4</v>
      </c>
      <c r="G25">
        <v>8000</v>
      </c>
      <c r="H25">
        <f>Table3[[#This Row],[Price]]*Table3[[#This Row],[Quantity]]</f>
        <v>32000</v>
      </c>
      <c r="I25" t="str">
        <f>TEXT(Table3[[#This Row],[Date]],"mmmm")</f>
        <v>March</v>
      </c>
      <c r="J25">
        <f>YEAR(Table3[[#This Row],[Date]])</f>
        <v>2025</v>
      </c>
    </row>
    <row r="26" spans="1:10">
      <c r="A26">
        <v>1025</v>
      </c>
      <c r="B26" s="1">
        <v>45726</v>
      </c>
      <c r="C26" t="s">
        <v>17</v>
      </c>
      <c r="D26" t="s">
        <v>0</v>
      </c>
      <c r="E26" t="s">
        <v>10</v>
      </c>
      <c r="F26" s="2">
        <v>2</v>
      </c>
      <c r="G26">
        <v>6000</v>
      </c>
      <c r="H26">
        <f>Table3[[#This Row],[Price]]*Table3[[#This Row],[Quantity]]</f>
        <v>12000</v>
      </c>
      <c r="I26" t="str">
        <f>TEXT(Table3[[#This Row],[Date]],"mmmm")</f>
        <v>March</v>
      </c>
      <c r="J26">
        <f>YEAR(Table3[[#This Row],[Date]])</f>
        <v>2025</v>
      </c>
    </row>
    <row r="27" spans="1:10">
      <c r="A27">
        <v>1026</v>
      </c>
      <c r="B27" s="1">
        <v>45728</v>
      </c>
      <c r="C27" t="s">
        <v>1</v>
      </c>
      <c r="D27" t="s">
        <v>0</v>
      </c>
      <c r="E27" t="s">
        <v>21</v>
      </c>
      <c r="F27" s="2">
        <v>3</v>
      </c>
      <c r="G27">
        <v>4000</v>
      </c>
      <c r="H27">
        <f>Table3[[#This Row],[Price]]*Table3[[#This Row],[Quantity]]</f>
        <v>12000</v>
      </c>
      <c r="I27" t="str">
        <f>TEXT(Table3[[#This Row],[Date]],"mmmm")</f>
        <v>March</v>
      </c>
      <c r="J27">
        <f>YEAR(Table3[[#This Row],[Date]])</f>
        <v>2025</v>
      </c>
    </row>
    <row r="28" spans="1:10">
      <c r="A28">
        <v>1027</v>
      </c>
      <c r="B28" s="1">
        <v>45730</v>
      </c>
      <c r="C28" t="s">
        <v>19</v>
      </c>
      <c r="D28" t="s">
        <v>14</v>
      </c>
      <c r="E28" t="s">
        <v>18</v>
      </c>
      <c r="F28" s="2">
        <v>1</v>
      </c>
      <c r="G28">
        <v>10000</v>
      </c>
      <c r="H28">
        <f>Table3[[#This Row],[Price]]*Table3[[#This Row],[Quantity]]</f>
        <v>10000</v>
      </c>
      <c r="I28" t="str">
        <f>TEXT(Table3[[#This Row],[Date]],"mmmm")</f>
        <v>March</v>
      </c>
      <c r="J28">
        <f>YEAR(Table3[[#This Row],[Date]])</f>
        <v>2025</v>
      </c>
    </row>
    <row r="29" spans="1:10">
      <c r="A29">
        <v>1028</v>
      </c>
      <c r="B29" s="1">
        <v>45732</v>
      </c>
      <c r="C29" t="s">
        <v>22</v>
      </c>
      <c r="D29" t="s">
        <v>0</v>
      </c>
      <c r="E29" t="s">
        <v>10</v>
      </c>
      <c r="F29" s="2">
        <v>8</v>
      </c>
      <c r="G29">
        <v>500</v>
      </c>
      <c r="H29">
        <f>Table3[[#This Row],[Price]]*Table3[[#This Row],[Quantity]]</f>
        <v>4000</v>
      </c>
      <c r="I29" t="str">
        <f>TEXT(Table3[[#This Row],[Date]],"mmmm")</f>
        <v>March</v>
      </c>
      <c r="J29">
        <f>YEAR(Table3[[#This Row],[Date]])</f>
        <v>2025</v>
      </c>
    </row>
    <row r="30" spans="1:10">
      <c r="A30">
        <v>1029</v>
      </c>
      <c r="B30" s="1">
        <v>45734</v>
      </c>
      <c r="C30" t="s">
        <v>23</v>
      </c>
      <c r="D30" t="s">
        <v>0</v>
      </c>
      <c r="E30" t="s">
        <v>15</v>
      </c>
      <c r="F30" s="2">
        <v>5</v>
      </c>
      <c r="G30">
        <v>700</v>
      </c>
      <c r="H30">
        <f>Table3[[#This Row],[Price]]*Table3[[#This Row],[Quantity]]</f>
        <v>3500</v>
      </c>
      <c r="I30" t="str">
        <f>TEXT(Table3[[#This Row],[Date]],"mmmm")</f>
        <v>March</v>
      </c>
      <c r="J30">
        <f>YEAR(Table3[[#This Row],[Date]])</f>
        <v>2025</v>
      </c>
    </row>
    <row r="31" spans="1:10">
      <c r="A31">
        <v>1030</v>
      </c>
      <c r="B31" s="1">
        <v>45736</v>
      </c>
      <c r="C31" t="s">
        <v>20</v>
      </c>
      <c r="D31" t="s">
        <v>0</v>
      </c>
      <c r="E31" t="s">
        <v>10</v>
      </c>
      <c r="F31" s="2">
        <v>6</v>
      </c>
      <c r="G31">
        <v>1500</v>
      </c>
      <c r="H31">
        <f>Table3[[#This Row],[Price]]*Table3[[#This Row],[Quantity]]</f>
        <v>9000</v>
      </c>
      <c r="I31" t="str">
        <f>TEXT(Table3[[#This Row],[Date]],"mmmm")</f>
        <v>March</v>
      </c>
      <c r="J31">
        <f>YEAR(Table3[[#This Row],[Date]])</f>
        <v>2025</v>
      </c>
    </row>
    <row r="32" spans="1:10">
      <c r="A32">
        <v>1031</v>
      </c>
      <c r="B32" s="1">
        <v>45748</v>
      </c>
      <c r="C32" t="s">
        <v>9</v>
      </c>
      <c r="D32" t="s">
        <v>0</v>
      </c>
      <c r="E32" t="s">
        <v>12</v>
      </c>
      <c r="F32" s="2">
        <v>2</v>
      </c>
      <c r="G32">
        <v>15000</v>
      </c>
      <c r="H32">
        <f>Table3[[#This Row],[Price]]*Table3[[#This Row],[Quantity]]</f>
        <v>30000</v>
      </c>
      <c r="I32" t="str">
        <f>TEXT(Table3[[#This Row],[Date]],"mmmm")</f>
        <v>April</v>
      </c>
      <c r="J32">
        <f>YEAR(Table3[[#This Row],[Date]])</f>
        <v>2025</v>
      </c>
    </row>
    <row r="33" spans="1:10">
      <c r="A33">
        <v>1032</v>
      </c>
      <c r="B33" s="1">
        <v>45750</v>
      </c>
      <c r="C33" t="s">
        <v>13</v>
      </c>
      <c r="D33" t="s">
        <v>14</v>
      </c>
      <c r="E33" t="s">
        <v>10</v>
      </c>
      <c r="F33" s="2">
        <v>3</v>
      </c>
      <c r="G33">
        <v>3000</v>
      </c>
      <c r="H33">
        <f>Table3[[#This Row],[Price]]*Table3[[#This Row],[Quantity]]</f>
        <v>9000</v>
      </c>
      <c r="I33" t="str">
        <f>TEXT(Table3[[#This Row],[Date]],"mmmm")</f>
        <v>April</v>
      </c>
      <c r="J33">
        <f>YEAR(Table3[[#This Row],[Date]])</f>
        <v>2025</v>
      </c>
    </row>
    <row r="34" spans="1:10">
      <c r="A34">
        <v>1033</v>
      </c>
      <c r="B34" s="1">
        <v>45752</v>
      </c>
      <c r="C34" t="s">
        <v>16</v>
      </c>
      <c r="D34" t="s">
        <v>14</v>
      </c>
      <c r="E34" t="s">
        <v>21</v>
      </c>
      <c r="F34" s="2">
        <v>4</v>
      </c>
      <c r="G34">
        <v>1200</v>
      </c>
      <c r="H34">
        <f>Table3[[#This Row],[Price]]*Table3[[#This Row],[Quantity]]</f>
        <v>4800</v>
      </c>
      <c r="I34" t="str">
        <f>TEXT(Table3[[#This Row],[Date]],"mmmm")</f>
        <v>April</v>
      </c>
      <c r="J34">
        <f>YEAR(Table3[[#This Row],[Date]])</f>
        <v>2025</v>
      </c>
    </row>
    <row r="35" spans="1:10">
      <c r="A35">
        <v>1034</v>
      </c>
      <c r="B35" s="1">
        <v>45754</v>
      </c>
      <c r="C35" t="s">
        <v>11</v>
      </c>
      <c r="D35" t="s">
        <v>0</v>
      </c>
      <c r="E35" t="s">
        <v>10</v>
      </c>
      <c r="F35" s="2">
        <v>5</v>
      </c>
      <c r="G35">
        <v>8000</v>
      </c>
      <c r="H35">
        <f>Table3[[#This Row],[Price]]*Table3[[#This Row],[Quantity]]</f>
        <v>40000</v>
      </c>
      <c r="I35" t="str">
        <f>TEXT(Table3[[#This Row],[Date]],"mmmm")</f>
        <v>April</v>
      </c>
      <c r="J35">
        <f>YEAR(Table3[[#This Row],[Date]])</f>
        <v>2025</v>
      </c>
    </row>
    <row r="36" spans="1:10">
      <c r="A36">
        <v>1035</v>
      </c>
      <c r="B36" s="1">
        <v>45756</v>
      </c>
      <c r="C36" t="s">
        <v>17</v>
      </c>
      <c r="D36" t="s">
        <v>0</v>
      </c>
      <c r="E36" t="s">
        <v>18</v>
      </c>
      <c r="F36" s="2">
        <v>2</v>
      </c>
      <c r="G36">
        <v>6000</v>
      </c>
      <c r="H36">
        <f>Table3[[#This Row],[Price]]*Table3[[#This Row],[Quantity]]</f>
        <v>12000</v>
      </c>
      <c r="I36" t="str">
        <f>TEXT(Table3[[#This Row],[Date]],"mmmm")</f>
        <v>April</v>
      </c>
      <c r="J36">
        <f>YEAR(Table3[[#This Row],[Date]])</f>
        <v>2025</v>
      </c>
    </row>
    <row r="37" spans="1:10">
      <c r="A37">
        <v>1036</v>
      </c>
      <c r="B37" s="1">
        <v>45758</v>
      </c>
      <c r="C37" t="s">
        <v>1</v>
      </c>
      <c r="D37" t="s">
        <v>0</v>
      </c>
      <c r="E37" t="s">
        <v>15</v>
      </c>
      <c r="F37" s="2">
        <v>3</v>
      </c>
      <c r="G37">
        <v>4000</v>
      </c>
      <c r="H37">
        <f>Table3[[#This Row],[Price]]*Table3[[#This Row],[Quantity]]</f>
        <v>12000</v>
      </c>
      <c r="I37" t="str">
        <f>TEXT(Table3[[#This Row],[Date]],"mmmm")</f>
        <v>April</v>
      </c>
      <c r="J37">
        <f>YEAR(Table3[[#This Row],[Date]])</f>
        <v>2025</v>
      </c>
    </row>
    <row r="38" spans="1:10">
      <c r="A38">
        <v>1037</v>
      </c>
      <c r="B38" s="1">
        <v>45760</v>
      </c>
      <c r="C38" t="s">
        <v>19</v>
      </c>
      <c r="D38" t="s">
        <v>14</v>
      </c>
      <c r="E38" t="s">
        <v>10</v>
      </c>
      <c r="F38" s="2">
        <v>1</v>
      </c>
      <c r="G38">
        <v>10000</v>
      </c>
      <c r="H38">
        <f>Table3[[#This Row],[Price]]*Table3[[#This Row],[Quantity]]</f>
        <v>10000</v>
      </c>
      <c r="I38" t="str">
        <f>TEXT(Table3[[#This Row],[Date]],"mmmm")</f>
        <v>April</v>
      </c>
      <c r="J38">
        <f>YEAR(Table3[[#This Row],[Date]])</f>
        <v>2025</v>
      </c>
    </row>
    <row r="39" spans="1:10">
      <c r="A39">
        <v>1038</v>
      </c>
      <c r="B39" s="1">
        <v>45762</v>
      </c>
      <c r="C39" t="s">
        <v>22</v>
      </c>
      <c r="D39" t="s">
        <v>0</v>
      </c>
      <c r="E39" t="s">
        <v>12</v>
      </c>
      <c r="F39" s="2">
        <v>6</v>
      </c>
      <c r="G39">
        <v>500</v>
      </c>
      <c r="H39">
        <f>Table3[[#This Row],[Price]]*Table3[[#This Row],[Quantity]]</f>
        <v>3000</v>
      </c>
      <c r="I39" t="str">
        <f>TEXT(Table3[[#This Row],[Date]],"mmmm")</f>
        <v>April</v>
      </c>
      <c r="J39">
        <f>YEAR(Table3[[#This Row],[Date]])</f>
        <v>2025</v>
      </c>
    </row>
    <row r="40" spans="1:10">
      <c r="A40">
        <v>1039</v>
      </c>
      <c r="B40" s="1">
        <v>45764</v>
      </c>
      <c r="C40" t="s">
        <v>23</v>
      </c>
      <c r="D40" t="s">
        <v>0</v>
      </c>
      <c r="E40" t="s">
        <v>10</v>
      </c>
      <c r="F40" s="2">
        <v>7</v>
      </c>
      <c r="G40">
        <v>700</v>
      </c>
      <c r="H40">
        <f>Table3[[#This Row],[Price]]*Table3[[#This Row],[Quantity]]</f>
        <v>4900</v>
      </c>
      <c r="I40" t="str">
        <f>TEXT(Table3[[#This Row],[Date]],"mmmm")</f>
        <v>April</v>
      </c>
      <c r="J40">
        <f>YEAR(Table3[[#This Row],[Date]])</f>
        <v>2025</v>
      </c>
    </row>
    <row r="41" spans="1:10">
      <c r="A41">
        <v>1040</v>
      </c>
      <c r="B41" s="1">
        <v>45766</v>
      </c>
      <c r="C41" t="s">
        <v>20</v>
      </c>
      <c r="D41" t="s">
        <v>0</v>
      </c>
      <c r="E41" t="s">
        <v>10</v>
      </c>
      <c r="F41" s="2">
        <v>5</v>
      </c>
      <c r="G41">
        <v>1500</v>
      </c>
      <c r="H41">
        <f>Table3[[#This Row],[Price]]*Table3[[#This Row],[Quantity]]</f>
        <v>7500</v>
      </c>
      <c r="I41" t="str">
        <f>TEXT(Table3[[#This Row],[Date]],"mmmm")</f>
        <v>April</v>
      </c>
      <c r="J41">
        <f>YEAR(Table3[[#This Row],[Date]])</f>
        <v>2025</v>
      </c>
    </row>
    <row r="42" spans="1:10">
      <c r="A42">
        <v>1041</v>
      </c>
      <c r="B42" s="1">
        <v>45779</v>
      </c>
      <c r="C42" t="s">
        <v>9</v>
      </c>
      <c r="D42" t="s">
        <v>0</v>
      </c>
      <c r="E42" t="s">
        <v>10</v>
      </c>
      <c r="F42" s="2">
        <v>2</v>
      </c>
      <c r="G42">
        <v>15000</v>
      </c>
      <c r="H42">
        <f>Table3[[#This Row],[Price]]*Table3[[#This Row],[Quantity]]</f>
        <v>30000</v>
      </c>
      <c r="I42" t="str">
        <f>TEXT(Table3[[#This Row],[Date]],"mmmm")</f>
        <v>May</v>
      </c>
      <c r="J42">
        <f>YEAR(Table3[[#This Row],[Date]])</f>
        <v>2025</v>
      </c>
    </row>
    <row r="43" spans="1:10">
      <c r="A43">
        <v>1042</v>
      </c>
      <c r="B43" s="1">
        <v>45781</v>
      </c>
      <c r="C43" t="s">
        <v>13</v>
      </c>
      <c r="D43" t="s">
        <v>14</v>
      </c>
      <c r="E43" t="s">
        <v>12</v>
      </c>
      <c r="F43" s="2">
        <v>1</v>
      </c>
      <c r="G43">
        <v>3000</v>
      </c>
      <c r="H43">
        <f>Table3[[#This Row],[Price]]*Table3[[#This Row],[Quantity]]</f>
        <v>3000</v>
      </c>
      <c r="I43" t="str">
        <f>TEXT(Table3[[#This Row],[Date]],"mmmm")</f>
        <v>May</v>
      </c>
      <c r="J43">
        <f>YEAR(Table3[[#This Row],[Date]])</f>
        <v>2025</v>
      </c>
    </row>
    <row r="44" spans="1:10">
      <c r="A44">
        <v>1043</v>
      </c>
      <c r="B44" s="1">
        <v>45783</v>
      </c>
      <c r="C44" t="s">
        <v>16</v>
      </c>
      <c r="D44" t="s">
        <v>14</v>
      </c>
      <c r="E44" t="s">
        <v>10</v>
      </c>
      <c r="F44" s="2">
        <v>5</v>
      </c>
      <c r="G44">
        <v>1200</v>
      </c>
      <c r="H44">
        <f>Table3[[#This Row],[Price]]*Table3[[#This Row],[Quantity]]</f>
        <v>6000</v>
      </c>
      <c r="I44" t="str">
        <f>TEXT(Table3[[#This Row],[Date]],"mmmm")</f>
        <v>May</v>
      </c>
      <c r="J44">
        <f>YEAR(Table3[[#This Row],[Date]])</f>
        <v>2025</v>
      </c>
    </row>
    <row r="45" spans="1:10">
      <c r="A45">
        <v>1044</v>
      </c>
      <c r="B45" s="1">
        <v>45785</v>
      </c>
      <c r="C45" t="s">
        <v>11</v>
      </c>
      <c r="D45" t="s">
        <v>0</v>
      </c>
      <c r="E45" t="s">
        <v>10</v>
      </c>
      <c r="F45" s="2">
        <v>4</v>
      </c>
      <c r="G45">
        <v>8000</v>
      </c>
      <c r="H45">
        <f>Table3[[#This Row],[Price]]*Table3[[#This Row],[Quantity]]</f>
        <v>32000</v>
      </c>
      <c r="I45" t="str">
        <f>TEXT(Table3[[#This Row],[Date]],"mmmm")</f>
        <v>May</v>
      </c>
      <c r="J45">
        <f>YEAR(Table3[[#This Row],[Date]])</f>
        <v>2025</v>
      </c>
    </row>
    <row r="46" spans="1:10">
      <c r="A46">
        <v>1045</v>
      </c>
      <c r="B46" s="1">
        <v>45787</v>
      </c>
      <c r="C46" t="s">
        <v>17</v>
      </c>
      <c r="D46" t="s">
        <v>0</v>
      </c>
      <c r="E46" t="s">
        <v>15</v>
      </c>
      <c r="F46" s="2">
        <v>3</v>
      </c>
      <c r="G46">
        <v>6000</v>
      </c>
      <c r="H46">
        <f>Table3[[#This Row],[Price]]*Table3[[#This Row],[Quantity]]</f>
        <v>18000</v>
      </c>
      <c r="I46" t="str">
        <f>TEXT(Table3[[#This Row],[Date]],"mmmm")</f>
        <v>May</v>
      </c>
      <c r="J46">
        <f>YEAR(Table3[[#This Row],[Date]])</f>
        <v>2025</v>
      </c>
    </row>
    <row r="47" spans="1:10">
      <c r="A47">
        <v>1046</v>
      </c>
      <c r="B47" s="1">
        <v>45789</v>
      </c>
      <c r="C47" t="s">
        <v>1</v>
      </c>
      <c r="D47" t="s">
        <v>0</v>
      </c>
      <c r="E47" t="s">
        <v>10</v>
      </c>
      <c r="F47" s="2">
        <v>2</v>
      </c>
      <c r="G47">
        <v>4000</v>
      </c>
      <c r="H47">
        <f>Table3[[#This Row],[Price]]*Table3[[#This Row],[Quantity]]</f>
        <v>8000</v>
      </c>
      <c r="I47" t="str">
        <f>TEXT(Table3[[#This Row],[Date]],"mmmm")</f>
        <v>May</v>
      </c>
      <c r="J47">
        <f>YEAR(Table3[[#This Row],[Date]])</f>
        <v>2025</v>
      </c>
    </row>
    <row r="48" spans="1:10">
      <c r="A48">
        <v>1047</v>
      </c>
      <c r="B48" s="1">
        <v>45791</v>
      </c>
      <c r="C48" t="s">
        <v>19</v>
      </c>
      <c r="D48" t="s">
        <v>14</v>
      </c>
      <c r="E48" t="s">
        <v>18</v>
      </c>
      <c r="F48" s="2">
        <v>1</v>
      </c>
      <c r="G48">
        <v>10000</v>
      </c>
      <c r="H48">
        <f>Table3[[#This Row],[Price]]*Table3[[#This Row],[Quantity]]</f>
        <v>10000</v>
      </c>
      <c r="I48" t="str">
        <f>TEXT(Table3[[#This Row],[Date]],"mmmm")</f>
        <v>May</v>
      </c>
      <c r="J48">
        <f>YEAR(Table3[[#This Row],[Date]])</f>
        <v>2025</v>
      </c>
    </row>
    <row r="49" spans="1:10">
      <c r="A49">
        <v>1048</v>
      </c>
      <c r="B49" s="1">
        <v>45793</v>
      </c>
      <c r="C49" t="s">
        <v>22</v>
      </c>
      <c r="D49" t="s">
        <v>0</v>
      </c>
      <c r="E49" t="s">
        <v>10</v>
      </c>
      <c r="F49" s="2">
        <v>9</v>
      </c>
      <c r="G49">
        <v>500</v>
      </c>
      <c r="H49">
        <f>Table3[[#This Row],[Price]]*Table3[[#This Row],[Quantity]]</f>
        <v>4500</v>
      </c>
      <c r="I49" t="str">
        <f>TEXT(Table3[[#This Row],[Date]],"mmmm")</f>
        <v>May</v>
      </c>
      <c r="J49">
        <f>YEAR(Table3[[#This Row],[Date]])</f>
        <v>2025</v>
      </c>
    </row>
    <row r="50" spans="1:10">
      <c r="A50">
        <v>1049</v>
      </c>
      <c r="B50" s="1">
        <v>45795</v>
      </c>
      <c r="C50" t="s">
        <v>23</v>
      </c>
      <c r="D50" t="s">
        <v>0</v>
      </c>
      <c r="E50" t="s">
        <v>12</v>
      </c>
      <c r="F50" s="2">
        <v>4</v>
      </c>
      <c r="G50">
        <v>700</v>
      </c>
      <c r="H50">
        <f>Table3[[#This Row],[Price]]*Table3[[#This Row],[Quantity]]</f>
        <v>2800</v>
      </c>
      <c r="I50" t="str">
        <f>TEXT(Table3[[#This Row],[Date]],"mmmm")</f>
        <v>May</v>
      </c>
      <c r="J50">
        <f>YEAR(Table3[[#This Row],[Date]])</f>
        <v>2025</v>
      </c>
    </row>
    <row r="51" spans="1:10">
      <c r="A51">
        <v>1050</v>
      </c>
      <c r="B51" s="1">
        <v>45797</v>
      </c>
      <c r="C51" t="s">
        <v>20</v>
      </c>
      <c r="D51" t="s">
        <v>0</v>
      </c>
      <c r="E51" t="s">
        <v>21</v>
      </c>
      <c r="F51" s="2">
        <v>6</v>
      </c>
      <c r="G51">
        <v>1500</v>
      </c>
      <c r="H51">
        <f>Table3[[#This Row],[Price]]*Table3[[#This Row],[Quantity]]</f>
        <v>9000</v>
      </c>
      <c r="I51" t="str">
        <f>TEXT(Table3[[#This Row],[Date]],"mmmm")</f>
        <v>May</v>
      </c>
      <c r="J51">
        <f>YEAR(Table3[[#This Row],[Date]])</f>
        <v>2025</v>
      </c>
    </row>
    <row r="52" spans="1:10">
      <c r="B52" s="1"/>
      <c r="F52" s="2"/>
    </row>
    <row r="53" spans="1:10">
      <c r="B53" s="1"/>
      <c r="F53" s="2"/>
    </row>
    <row r="54" spans="1:10">
      <c r="B54" s="1"/>
      <c r="F54" s="2"/>
    </row>
    <row r="55" spans="1:10">
      <c r="B55" s="1"/>
      <c r="F55" s="2"/>
    </row>
    <row r="56" spans="1:10">
      <c r="B56" s="1"/>
      <c r="F56" s="2"/>
    </row>
    <row r="57" spans="1:10">
      <c r="B57" s="1"/>
      <c r="F57" s="2"/>
    </row>
    <row r="58" spans="1:10">
      <c r="B58" s="1"/>
      <c r="F58" s="2"/>
    </row>
    <row r="59" spans="1:10">
      <c r="B59" s="1"/>
      <c r="F59" s="2"/>
    </row>
    <row r="60" spans="1:10">
      <c r="B60" s="1"/>
      <c r="F60" s="2"/>
    </row>
    <row r="61" spans="1:10">
      <c r="B61" s="1"/>
      <c r="F61" s="2"/>
    </row>
    <row r="62" spans="1:10">
      <c r="B62" s="1"/>
      <c r="F62" s="2"/>
    </row>
    <row r="63" spans="1:10">
      <c r="B63" s="1"/>
      <c r="F63" s="2"/>
    </row>
    <row r="64" spans="1:10">
      <c r="B64" s="1"/>
      <c r="F64" s="2"/>
    </row>
    <row r="65" spans="2:6">
      <c r="B65" s="1"/>
      <c r="F65" s="2"/>
    </row>
    <row r="66" spans="2:6">
      <c r="B66" s="1"/>
      <c r="F66" s="2"/>
    </row>
    <row r="67" spans="2:6">
      <c r="B67" s="1"/>
      <c r="F67" s="2"/>
    </row>
    <row r="68" spans="2:6">
      <c r="B68" s="1"/>
      <c r="F68" s="2"/>
    </row>
    <row r="69" spans="2:6">
      <c r="B69" s="1"/>
      <c r="F69" s="2"/>
    </row>
    <row r="70" spans="2:6">
      <c r="B70" s="1"/>
      <c r="F70" s="2"/>
    </row>
    <row r="71" spans="2:6">
      <c r="B71" s="1"/>
      <c r="F71" s="2"/>
    </row>
    <row r="72" spans="2:6">
      <c r="B72" s="1"/>
      <c r="F72" s="2"/>
    </row>
    <row r="73" spans="2:6">
      <c r="B73" s="1"/>
      <c r="F73" s="2"/>
    </row>
    <row r="74" spans="2:6">
      <c r="B74" s="1"/>
      <c r="F74" s="2"/>
    </row>
    <row r="75" spans="2:6">
      <c r="B75" s="1"/>
      <c r="F75" s="2"/>
    </row>
    <row r="76" spans="2:6">
      <c r="B76" s="1"/>
      <c r="F76" s="2"/>
    </row>
    <row r="77" spans="2:6">
      <c r="B77" s="1"/>
      <c r="F77" s="2"/>
    </row>
    <row r="78" spans="2:6">
      <c r="B78" s="1"/>
      <c r="F78" s="2"/>
    </row>
    <row r="79" spans="2:6">
      <c r="B79" s="1"/>
      <c r="F79" s="2"/>
    </row>
    <row r="80" spans="2:6">
      <c r="B80" s="1"/>
      <c r="F80" s="2"/>
    </row>
    <row r="81" spans="2:6">
      <c r="B81" s="1"/>
      <c r="F81" s="2"/>
    </row>
    <row r="82" spans="2:6">
      <c r="B82" s="1"/>
      <c r="F82" s="2"/>
    </row>
    <row r="83" spans="2:6">
      <c r="B83" s="1"/>
      <c r="F83" s="2"/>
    </row>
    <row r="84" spans="2:6">
      <c r="B84" s="1"/>
      <c r="F84" s="2"/>
    </row>
    <row r="85" spans="2:6">
      <c r="B85" s="1"/>
      <c r="F85" s="2"/>
    </row>
    <row r="86" spans="2:6">
      <c r="B86" s="1"/>
      <c r="F86" s="2"/>
    </row>
    <row r="87" spans="2:6">
      <c r="B87" s="1"/>
      <c r="F87" s="2"/>
    </row>
    <row r="88" spans="2:6">
      <c r="B88" s="1"/>
      <c r="F88" s="2"/>
    </row>
    <row r="89" spans="2:6">
      <c r="B89" s="1"/>
      <c r="F89" s="2"/>
    </row>
    <row r="90" spans="2:6">
      <c r="B90" s="1"/>
      <c r="F90" s="2"/>
    </row>
    <row r="91" spans="2:6">
      <c r="B91" s="1"/>
      <c r="F91" s="2"/>
    </row>
    <row r="92" spans="2:6">
      <c r="B92" s="1"/>
      <c r="F92" s="2"/>
    </row>
    <row r="93" spans="2:6">
      <c r="B93" s="1"/>
      <c r="F93" s="2"/>
    </row>
    <row r="94" spans="2:6">
      <c r="B94" s="1"/>
      <c r="F94" s="2"/>
    </row>
    <row r="95" spans="2:6">
      <c r="B95" s="1"/>
      <c r="F95" s="2"/>
    </row>
    <row r="96" spans="2:6">
      <c r="B96" s="1"/>
      <c r="F96" s="2"/>
    </row>
    <row r="97" spans="2:6">
      <c r="B97" s="1"/>
      <c r="F97" s="2"/>
    </row>
    <row r="98" spans="2:6">
      <c r="B98" s="1"/>
      <c r="F98" s="2"/>
    </row>
    <row r="99" spans="2:6">
      <c r="B99" s="1"/>
      <c r="F99" s="2"/>
    </row>
    <row r="100" spans="2:6">
      <c r="B100" s="1"/>
      <c r="F100" s="2"/>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election sqref="A1:B1"/>
    </sheetView>
  </sheetViews>
  <sheetFormatPr defaultRowHeight="13.8"/>
  <sheetData>
    <row r="1" spans="1:3">
      <c r="A1" s="3" t="s">
        <v>24</v>
      </c>
      <c r="B1" s="3" t="s">
        <v>25</v>
      </c>
      <c r="C1" s="4" t="s">
        <v>26</v>
      </c>
    </row>
    <row r="2" spans="1:3">
      <c r="A2" s="5">
        <f>Table3[[#This Row],[Price]]*Table3[[#This Row],[Quantity]]</f>
        <v>30000</v>
      </c>
      <c r="B2" s="5">
        <f>MONTH(Table3[[#This Row],[Date]])</f>
        <v>1</v>
      </c>
      <c r="C2" s="6">
        <f>YEAR(Table3[[#This Row],[Date]])</f>
        <v>2025</v>
      </c>
    </row>
    <row r="3" spans="1:3">
      <c r="A3" s="7">
        <f>Table3[[#This Row],[Price]]*Table3[[#This Row],[Quantity]]</f>
        <v>24000</v>
      </c>
      <c r="B3" s="7">
        <f>MONTH(Table3[[#This Row],[Date]])</f>
        <v>1</v>
      </c>
      <c r="C3" s="8">
        <f>YEAR(Table3[[#This Row],[Date]])</f>
        <v>2025</v>
      </c>
    </row>
    <row r="4" spans="1:3">
      <c r="A4" s="5">
        <f>Table3[[#This Row],[Price]]*Table3[[#This Row],[Quantity]]</f>
        <v>3000</v>
      </c>
      <c r="B4" s="5">
        <f>MONTH(Table3[[#This Row],[Date]])</f>
        <v>1</v>
      </c>
      <c r="C4" s="6">
        <f>YEAR(Table3[[#This Row],[Date]])</f>
        <v>2025</v>
      </c>
    </row>
    <row r="5" spans="1:3">
      <c r="A5" s="7">
        <f>Table3[[#This Row],[Price]]*Table3[[#This Row],[Quantity]]</f>
        <v>4800</v>
      </c>
      <c r="B5" s="7">
        <f>MONTH(Table3[[#This Row],[Date]])</f>
        <v>1</v>
      </c>
      <c r="C5" s="8">
        <f>YEAR(Table3[[#This Row],[Date]])</f>
        <v>2025</v>
      </c>
    </row>
    <row r="6" spans="1:3">
      <c r="A6" s="5">
        <f>Table3[[#This Row],[Price]]*Table3[[#This Row],[Quantity]]</f>
        <v>12000</v>
      </c>
      <c r="B6" s="5">
        <f>MONTH(Table3[[#This Row],[Date]])</f>
        <v>1</v>
      </c>
      <c r="C6" s="6">
        <f>YEAR(Table3[[#This Row],[Date]])</f>
        <v>2025</v>
      </c>
    </row>
    <row r="7" spans="1:3">
      <c r="A7" s="7">
        <f>Table3[[#This Row],[Price]]*Table3[[#This Row],[Quantity]]</f>
        <v>12000</v>
      </c>
      <c r="B7" s="7">
        <f>MONTH(Table3[[#This Row],[Date]])</f>
        <v>1</v>
      </c>
      <c r="C7" s="8">
        <f>YEAR(Table3[[#This Row],[Date]])</f>
        <v>2025</v>
      </c>
    </row>
    <row r="8" spans="1:3">
      <c r="A8" s="5">
        <f>Table3[[#This Row],[Price]]*Table3[[#This Row],[Quantity]]</f>
        <v>10000</v>
      </c>
      <c r="B8" s="5">
        <f>MONTH(Table3[[#This Row],[Date]])</f>
        <v>1</v>
      </c>
      <c r="C8" s="6">
        <f>YEAR(Table3[[#This Row],[Date]])</f>
        <v>2025</v>
      </c>
    </row>
    <row r="9" spans="1:3">
      <c r="A9" s="7">
        <f>Table3[[#This Row],[Price]]*Table3[[#This Row],[Quantity]]</f>
        <v>7500</v>
      </c>
      <c r="B9" s="7">
        <f>MONTH(Table3[[#This Row],[Date]])</f>
        <v>1</v>
      </c>
      <c r="C9" s="8">
        <f>YEAR(Table3[[#This Row],[Date]])</f>
        <v>2025</v>
      </c>
    </row>
    <row r="10" spans="1:3">
      <c r="A10" s="5">
        <f>Table3[[#This Row],[Price]]*Table3[[#This Row],[Quantity]]</f>
        <v>3000</v>
      </c>
      <c r="B10" s="5">
        <f>MONTH(Table3[[#This Row],[Date]])</f>
        <v>1</v>
      </c>
      <c r="C10" s="6">
        <f>YEAR(Table3[[#This Row],[Date]])</f>
        <v>2025</v>
      </c>
    </row>
    <row r="11" spans="1:3">
      <c r="A11" s="7">
        <f>Table3[[#This Row],[Price]]*Table3[[#This Row],[Quantity]]</f>
        <v>2800</v>
      </c>
      <c r="B11" s="7">
        <f>MONTH(Table3[[#This Row],[Date]])</f>
        <v>1</v>
      </c>
      <c r="C11" s="8">
        <f>YEAR(Table3[[#This Row],[Date]])</f>
        <v>2025</v>
      </c>
    </row>
    <row r="12" spans="1:3">
      <c r="A12" s="5">
        <f>Table3[[#This Row],[Price]]*Table3[[#This Row],[Quantity]]</f>
        <v>15000</v>
      </c>
      <c r="B12" s="5">
        <f>MONTH(Table3[[#This Row],[Date]])</f>
        <v>2</v>
      </c>
      <c r="C12" s="6">
        <f>YEAR(Table3[[#This Row],[Date]])</f>
        <v>2025</v>
      </c>
    </row>
    <row r="13" spans="1:3">
      <c r="A13" s="7">
        <f>Table3[[#This Row],[Price]]*Table3[[#This Row],[Quantity]]</f>
        <v>6000</v>
      </c>
      <c r="B13" s="7">
        <f>MONTH(Table3[[#This Row],[Date]])</f>
        <v>2</v>
      </c>
      <c r="C13" s="8">
        <f>YEAR(Table3[[#This Row],[Date]])</f>
        <v>2025</v>
      </c>
    </row>
    <row r="14" spans="1:3">
      <c r="A14" s="5">
        <f>Table3[[#This Row],[Price]]*Table3[[#This Row],[Quantity]]</f>
        <v>6000</v>
      </c>
      <c r="B14" s="5">
        <f>MONTH(Table3[[#This Row],[Date]])</f>
        <v>2</v>
      </c>
      <c r="C14" s="6">
        <f>YEAR(Table3[[#This Row],[Date]])</f>
        <v>2025</v>
      </c>
    </row>
    <row r="15" spans="1:3">
      <c r="A15" s="7">
        <f>Table3[[#This Row],[Price]]*Table3[[#This Row],[Quantity]]</f>
        <v>16000</v>
      </c>
      <c r="B15" s="7">
        <f>MONTH(Table3[[#This Row],[Date]])</f>
        <v>2</v>
      </c>
      <c r="C15" s="8">
        <f>YEAR(Table3[[#This Row],[Date]])</f>
        <v>2025</v>
      </c>
    </row>
    <row r="16" spans="1:3">
      <c r="A16" s="5">
        <f>Table3[[#This Row],[Price]]*Table3[[#This Row],[Quantity]]</f>
        <v>18000</v>
      </c>
      <c r="B16" s="5">
        <f>MONTH(Table3[[#This Row],[Date]])</f>
        <v>2</v>
      </c>
      <c r="C16" s="6">
        <f>YEAR(Table3[[#This Row],[Date]])</f>
        <v>2025</v>
      </c>
    </row>
    <row r="17" spans="1:3">
      <c r="A17" s="7">
        <f>Table3[[#This Row],[Price]]*Table3[[#This Row],[Quantity]]</f>
        <v>8000</v>
      </c>
      <c r="B17" s="7">
        <f>MONTH(Table3[[#This Row],[Date]])</f>
        <v>2</v>
      </c>
      <c r="C17" s="8">
        <f>YEAR(Table3[[#This Row],[Date]])</f>
        <v>2025</v>
      </c>
    </row>
    <row r="18" spans="1:3">
      <c r="A18" s="5">
        <f>Table3[[#This Row],[Price]]*Table3[[#This Row],[Quantity]]</f>
        <v>10000</v>
      </c>
      <c r="B18" s="5">
        <f>MONTH(Table3[[#This Row],[Date]])</f>
        <v>2</v>
      </c>
      <c r="C18" s="6">
        <f>YEAR(Table3[[#This Row],[Date]])</f>
        <v>2025</v>
      </c>
    </row>
    <row r="19" spans="1:3">
      <c r="A19" s="7">
        <f>Table3[[#This Row],[Price]]*Table3[[#This Row],[Quantity]]</f>
        <v>3500</v>
      </c>
      <c r="B19" s="7">
        <f>MONTH(Table3[[#This Row],[Date]])</f>
        <v>2</v>
      </c>
      <c r="C19" s="8">
        <f>YEAR(Table3[[#This Row],[Date]])</f>
        <v>2025</v>
      </c>
    </row>
    <row r="20" spans="1:3">
      <c r="A20" s="5">
        <f>Table3[[#This Row],[Price]]*Table3[[#This Row],[Quantity]]</f>
        <v>2100</v>
      </c>
      <c r="B20" s="5">
        <f>MONTH(Table3[[#This Row],[Date]])</f>
        <v>2</v>
      </c>
      <c r="C20" s="6">
        <f>YEAR(Table3[[#This Row],[Date]])</f>
        <v>2025</v>
      </c>
    </row>
    <row r="21" spans="1:3">
      <c r="A21" s="7">
        <f>Table3[[#This Row],[Price]]*Table3[[#This Row],[Quantity]]</f>
        <v>6000</v>
      </c>
      <c r="B21" s="7">
        <f>MONTH(Table3[[#This Row],[Date]])</f>
        <v>2</v>
      </c>
      <c r="C21" s="8">
        <f>YEAR(Table3[[#This Row],[Date]])</f>
        <v>2025</v>
      </c>
    </row>
    <row r="22" spans="1:3">
      <c r="A22" s="5">
        <f>Table3[[#This Row],[Price]]*Table3[[#This Row],[Quantity]]</f>
        <v>45000</v>
      </c>
      <c r="B22" s="5">
        <f>MONTH(Table3[[#This Row],[Date]])</f>
        <v>3</v>
      </c>
      <c r="C22" s="6">
        <f>YEAR(Table3[[#This Row],[Date]])</f>
        <v>2025</v>
      </c>
    </row>
    <row r="23" spans="1:3">
      <c r="A23" s="7">
        <f>Table3[[#This Row],[Price]]*Table3[[#This Row],[Quantity]]</f>
        <v>6000</v>
      </c>
      <c r="B23" s="7">
        <f>MONTH(Table3[[#This Row],[Date]])</f>
        <v>3</v>
      </c>
      <c r="C23" s="8">
        <f>YEAR(Table3[[#This Row],[Date]])</f>
        <v>2025</v>
      </c>
    </row>
    <row r="24" spans="1:3">
      <c r="A24" s="5">
        <f>Table3[[#This Row],[Price]]*Table3[[#This Row],[Quantity]]</f>
        <v>7200</v>
      </c>
      <c r="B24" s="5">
        <f>MONTH(Table3[[#This Row],[Date]])</f>
        <v>3</v>
      </c>
      <c r="C24" s="6">
        <f>YEAR(Table3[[#This Row],[Date]])</f>
        <v>2025</v>
      </c>
    </row>
    <row r="25" spans="1:3">
      <c r="A25" s="7">
        <f>Table3[[#This Row],[Price]]*Table3[[#This Row],[Quantity]]</f>
        <v>32000</v>
      </c>
      <c r="B25" s="7">
        <f>MONTH(Table3[[#This Row],[Date]])</f>
        <v>3</v>
      </c>
      <c r="C25" s="8">
        <f>YEAR(Table3[[#This Row],[Date]])</f>
        <v>2025</v>
      </c>
    </row>
    <row r="26" spans="1:3">
      <c r="A26" s="5">
        <f>Table3[[#This Row],[Price]]*Table3[[#This Row],[Quantity]]</f>
        <v>12000</v>
      </c>
      <c r="B26" s="5">
        <f>MONTH(Table3[[#This Row],[Date]])</f>
        <v>3</v>
      </c>
      <c r="C26" s="6">
        <f>YEAR(Table3[[#This Row],[Date]])</f>
        <v>2025</v>
      </c>
    </row>
    <row r="27" spans="1:3">
      <c r="A27" s="7">
        <f>Table3[[#This Row],[Price]]*Table3[[#This Row],[Quantity]]</f>
        <v>12000</v>
      </c>
      <c r="B27" s="7">
        <f>MONTH(Table3[[#This Row],[Date]])</f>
        <v>3</v>
      </c>
      <c r="C27" s="8">
        <f>YEAR(Table3[[#This Row],[Date]])</f>
        <v>2025</v>
      </c>
    </row>
    <row r="28" spans="1:3">
      <c r="A28" s="5">
        <f>Table3[[#This Row],[Price]]*Table3[[#This Row],[Quantity]]</f>
        <v>10000</v>
      </c>
      <c r="B28" s="5">
        <f>MONTH(Table3[[#This Row],[Date]])</f>
        <v>3</v>
      </c>
      <c r="C28" s="6">
        <f>YEAR(Table3[[#This Row],[Date]])</f>
        <v>2025</v>
      </c>
    </row>
    <row r="29" spans="1:3">
      <c r="A29" s="7">
        <f>Table3[[#This Row],[Price]]*Table3[[#This Row],[Quantity]]</f>
        <v>4000</v>
      </c>
      <c r="B29" s="7">
        <f>MONTH(Table3[[#This Row],[Date]])</f>
        <v>3</v>
      </c>
      <c r="C29" s="8">
        <f>YEAR(Table3[[#This Row],[Date]])</f>
        <v>2025</v>
      </c>
    </row>
    <row r="30" spans="1:3">
      <c r="A30" s="5">
        <f>Table3[[#This Row],[Price]]*Table3[[#This Row],[Quantity]]</f>
        <v>3500</v>
      </c>
      <c r="B30" s="5">
        <f>MONTH(Table3[[#This Row],[Date]])</f>
        <v>3</v>
      </c>
      <c r="C30" s="6">
        <f>YEAR(Table3[[#This Row],[Date]])</f>
        <v>2025</v>
      </c>
    </row>
    <row r="31" spans="1:3">
      <c r="A31" s="7">
        <f>Table3[[#This Row],[Price]]*Table3[[#This Row],[Quantity]]</f>
        <v>9000</v>
      </c>
      <c r="B31" s="7">
        <f>MONTH(Table3[[#This Row],[Date]])</f>
        <v>3</v>
      </c>
      <c r="C31" s="8">
        <f>YEAR(Table3[[#This Row],[Date]])</f>
        <v>2025</v>
      </c>
    </row>
    <row r="32" spans="1:3">
      <c r="A32" s="5">
        <f>Table3[[#This Row],[Price]]*Table3[[#This Row],[Quantity]]</f>
        <v>30000</v>
      </c>
      <c r="B32" s="5">
        <f>MONTH(Table3[[#This Row],[Date]])</f>
        <v>4</v>
      </c>
      <c r="C32" s="6">
        <f>YEAR(Table3[[#This Row],[Date]])</f>
        <v>2025</v>
      </c>
    </row>
    <row r="33" spans="1:3">
      <c r="A33" s="7">
        <f>Table3[[#This Row],[Price]]*Table3[[#This Row],[Quantity]]</f>
        <v>9000</v>
      </c>
      <c r="B33" s="7">
        <f>MONTH(Table3[[#This Row],[Date]])</f>
        <v>4</v>
      </c>
      <c r="C33" s="8">
        <f>YEAR(Table3[[#This Row],[Date]])</f>
        <v>2025</v>
      </c>
    </row>
    <row r="34" spans="1:3">
      <c r="A34" s="5">
        <f>Table3[[#This Row],[Price]]*Table3[[#This Row],[Quantity]]</f>
        <v>4800</v>
      </c>
      <c r="B34" s="5">
        <f>MONTH(Table3[[#This Row],[Date]])</f>
        <v>4</v>
      </c>
      <c r="C34" s="6">
        <f>YEAR(Table3[[#This Row],[Date]])</f>
        <v>2025</v>
      </c>
    </row>
    <row r="35" spans="1:3">
      <c r="A35" s="7">
        <f>Table3[[#This Row],[Price]]*Table3[[#This Row],[Quantity]]</f>
        <v>40000</v>
      </c>
      <c r="B35" s="7">
        <f>MONTH(Table3[[#This Row],[Date]])</f>
        <v>4</v>
      </c>
      <c r="C35" s="8">
        <f>YEAR(Table3[[#This Row],[Date]])</f>
        <v>2025</v>
      </c>
    </row>
    <row r="36" spans="1:3">
      <c r="A36" s="5">
        <f>Table3[[#This Row],[Price]]*Table3[[#This Row],[Quantity]]</f>
        <v>12000</v>
      </c>
      <c r="B36" s="5">
        <f>MONTH(Table3[[#This Row],[Date]])</f>
        <v>4</v>
      </c>
      <c r="C36" s="6">
        <f>YEAR(Table3[[#This Row],[Date]])</f>
        <v>2025</v>
      </c>
    </row>
    <row r="37" spans="1:3">
      <c r="A37" s="7">
        <f>Table3[[#This Row],[Price]]*Table3[[#This Row],[Quantity]]</f>
        <v>12000</v>
      </c>
      <c r="B37" s="7">
        <f>MONTH(Table3[[#This Row],[Date]])</f>
        <v>4</v>
      </c>
      <c r="C37" s="8">
        <f>YEAR(Table3[[#This Row],[Date]])</f>
        <v>2025</v>
      </c>
    </row>
    <row r="38" spans="1:3">
      <c r="A38" s="5">
        <f>Table3[[#This Row],[Price]]*Table3[[#This Row],[Quantity]]</f>
        <v>10000</v>
      </c>
      <c r="B38" s="5">
        <f>MONTH(Table3[[#This Row],[Date]])</f>
        <v>4</v>
      </c>
      <c r="C38" s="6">
        <f>YEAR(Table3[[#This Row],[Date]])</f>
        <v>2025</v>
      </c>
    </row>
    <row r="39" spans="1:3">
      <c r="A39" s="7">
        <f>Table3[[#This Row],[Price]]*Table3[[#This Row],[Quantity]]</f>
        <v>3000</v>
      </c>
      <c r="B39" s="7">
        <f>MONTH(Table3[[#This Row],[Date]])</f>
        <v>4</v>
      </c>
      <c r="C39" s="8">
        <f>YEAR(Table3[[#This Row],[Date]])</f>
        <v>2025</v>
      </c>
    </row>
    <row r="40" spans="1:3">
      <c r="A40" s="5">
        <f>Table3[[#This Row],[Price]]*Table3[[#This Row],[Quantity]]</f>
        <v>4900</v>
      </c>
      <c r="B40" s="5">
        <f>MONTH(Table3[[#This Row],[Date]])</f>
        <v>4</v>
      </c>
      <c r="C40" s="6">
        <f>YEAR(Table3[[#This Row],[Date]])</f>
        <v>2025</v>
      </c>
    </row>
    <row r="41" spans="1:3">
      <c r="A41" s="7">
        <f>Table3[[#This Row],[Price]]*Table3[[#This Row],[Quantity]]</f>
        <v>7500</v>
      </c>
      <c r="B41" s="7">
        <f>MONTH(Table3[[#This Row],[Date]])</f>
        <v>4</v>
      </c>
      <c r="C41" s="8">
        <f>YEAR(Table3[[#This Row],[Date]])</f>
        <v>2025</v>
      </c>
    </row>
    <row r="42" spans="1:3">
      <c r="A42" s="5">
        <f>Table3[[#This Row],[Price]]*Table3[[#This Row],[Quantity]]</f>
        <v>30000</v>
      </c>
      <c r="B42" s="5">
        <f>MONTH(Table3[[#This Row],[Date]])</f>
        <v>5</v>
      </c>
      <c r="C42" s="6">
        <f>YEAR(Table3[[#This Row],[Date]])</f>
        <v>2025</v>
      </c>
    </row>
    <row r="43" spans="1:3">
      <c r="A43" s="7">
        <f>Table3[[#This Row],[Price]]*Table3[[#This Row],[Quantity]]</f>
        <v>3000</v>
      </c>
      <c r="B43" s="7">
        <f>MONTH(Table3[[#This Row],[Date]])</f>
        <v>5</v>
      </c>
      <c r="C43" s="8">
        <f>YEAR(Table3[[#This Row],[Date]])</f>
        <v>2025</v>
      </c>
    </row>
    <row r="44" spans="1:3">
      <c r="A44" s="5">
        <f>Table3[[#This Row],[Price]]*Table3[[#This Row],[Quantity]]</f>
        <v>6000</v>
      </c>
      <c r="B44" s="5">
        <f>MONTH(Table3[[#This Row],[Date]])</f>
        <v>5</v>
      </c>
      <c r="C44" s="6">
        <f>YEAR(Table3[[#This Row],[Date]])</f>
        <v>2025</v>
      </c>
    </row>
    <row r="45" spans="1:3">
      <c r="A45" s="7">
        <f>Table3[[#This Row],[Price]]*Table3[[#This Row],[Quantity]]</f>
        <v>32000</v>
      </c>
      <c r="B45" s="7">
        <f>MONTH(Table3[[#This Row],[Date]])</f>
        <v>5</v>
      </c>
      <c r="C45" s="8">
        <f>YEAR(Table3[[#This Row],[Date]])</f>
        <v>2025</v>
      </c>
    </row>
    <row r="46" spans="1:3">
      <c r="A46" s="5">
        <f>Table3[[#This Row],[Price]]*Table3[[#This Row],[Quantity]]</f>
        <v>18000</v>
      </c>
      <c r="B46" s="5">
        <f>MONTH(Table3[[#This Row],[Date]])</f>
        <v>5</v>
      </c>
      <c r="C46" s="6">
        <f>YEAR(Table3[[#This Row],[Date]])</f>
        <v>2025</v>
      </c>
    </row>
    <row r="47" spans="1:3">
      <c r="A47" s="7">
        <f>Table3[[#This Row],[Price]]*Table3[[#This Row],[Quantity]]</f>
        <v>8000</v>
      </c>
      <c r="B47" s="7">
        <f>MONTH(Table3[[#This Row],[Date]])</f>
        <v>5</v>
      </c>
      <c r="C47" s="8">
        <f>YEAR(Table3[[#This Row],[Date]])</f>
        <v>2025</v>
      </c>
    </row>
    <row r="48" spans="1:3">
      <c r="A48" s="5">
        <f>Table3[[#This Row],[Price]]*Table3[[#This Row],[Quantity]]</f>
        <v>10000</v>
      </c>
      <c r="B48" s="5">
        <f>MONTH(Table3[[#This Row],[Date]])</f>
        <v>5</v>
      </c>
      <c r="C48" s="6">
        <f>YEAR(Table3[[#This Row],[Date]])</f>
        <v>2025</v>
      </c>
    </row>
    <row r="49" spans="1:3">
      <c r="A49" s="7">
        <f>Table3[[#This Row],[Price]]*Table3[[#This Row],[Quantity]]</f>
        <v>4500</v>
      </c>
      <c r="B49" s="7">
        <f>MONTH(Table3[[#This Row],[Date]])</f>
        <v>5</v>
      </c>
      <c r="C49" s="8">
        <f>YEAR(Table3[[#This Row],[Date]])</f>
        <v>2025</v>
      </c>
    </row>
    <row r="50" spans="1:3">
      <c r="A50" s="5">
        <f>Table3[[#This Row],[Price]]*Table3[[#This Row],[Quantity]]</f>
        <v>2800</v>
      </c>
      <c r="B50" s="5">
        <f>MONTH(Table3[[#This Row],[Date]])</f>
        <v>5</v>
      </c>
      <c r="C50" s="6">
        <f>YEAR(Table3[[#This Row],[Date]])</f>
        <v>2025</v>
      </c>
    </row>
    <row r="51" spans="1:3">
      <c r="A51" s="7">
        <f>Table3[[#This Row],[Price]]*Table3[[#This Row],[Quantity]]</f>
        <v>9000</v>
      </c>
      <c r="B51" s="7">
        <f>MONTH(Table3[[#This Row],[Date]])</f>
        <v>5</v>
      </c>
      <c r="C51" s="8">
        <f>YEAR(Table3[[#This Row],[Date]])</f>
        <v>2025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
  <sheetViews>
    <sheetView topLeftCell="A7" workbookViewId="0">
      <selection activeCell="O14" sqref="O14"/>
    </sheetView>
  </sheetViews>
  <sheetFormatPr defaultRowHeight="13.8"/>
  <cols>
    <col min="1" max="1" width="13.09765625" bestFit="1" customWidth="1"/>
    <col min="2" max="2" width="15.59765625" bestFit="1" customWidth="1"/>
    <col min="7" max="7" width="12.5" bestFit="1" customWidth="1"/>
    <col min="8" max="8" width="14.3984375" bestFit="1" customWidth="1"/>
    <col min="14" max="14" width="12.5" bestFit="1" customWidth="1"/>
    <col min="15" max="15" width="14.3984375" bestFit="1" customWidth="1"/>
    <col min="23" max="23" width="12.5" bestFit="1" customWidth="1"/>
    <col min="24" max="24" width="14.3984375" bestFit="1" customWidth="1"/>
  </cols>
  <sheetData>
    <row r="1" spans="1:24">
      <c r="A1" s="9" t="s">
        <v>27</v>
      </c>
      <c r="B1" t="s">
        <v>29</v>
      </c>
      <c r="G1" s="9" t="s">
        <v>27</v>
      </c>
      <c r="H1" t="s">
        <v>29</v>
      </c>
      <c r="N1" s="9" t="s">
        <v>27</v>
      </c>
      <c r="O1" t="s">
        <v>29</v>
      </c>
      <c r="W1" s="9" t="s">
        <v>27</v>
      </c>
      <c r="X1" t="s">
        <v>29</v>
      </c>
    </row>
    <row r="2" spans="1:24">
      <c r="A2" s="10" t="s">
        <v>18</v>
      </c>
      <c r="B2" s="11">
        <v>26000</v>
      </c>
      <c r="G2" s="10" t="s">
        <v>30</v>
      </c>
      <c r="H2" s="11">
        <v>109100</v>
      </c>
      <c r="I2" s="10"/>
      <c r="J2" s="11"/>
      <c r="N2" s="10" t="s">
        <v>17</v>
      </c>
      <c r="O2" s="11">
        <v>72000</v>
      </c>
      <c r="W2" s="10" t="s">
        <v>0</v>
      </c>
      <c r="X2" s="11">
        <v>491100</v>
      </c>
    </row>
    <row r="3" spans="1:24">
      <c r="A3" s="10" t="s">
        <v>21</v>
      </c>
      <c r="B3" s="11">
        <v>14800</v>
      </c>
      <c r="G3" s="10" t="s">
        <v>31</v>
      </c>
      <c r="H3" s="11">
        <v>90600</v>
      </c>
      <c r="I3" s="10"/>
      <c r="J3" s="11"/>
      <c r="N3" s="10" t="s">
        <v>19</v>
      </c>
      <c r="O3" s="11">
        <v>50000</v>
      </c>
      <c r="W3" s="10" t="s">
        <v>14</v>
      </c>
      <c r="X3" s="11">
        <v>105800</v>
      </c>
    </row>
    <row r="4" spans="1:24">
      <c r="A4" s="10" t="s">
        <v>10</v>
      </c>
      <c r="B4" s="11">
        <v>43000</v>
      </c>
      <c r="G4" s="10" t="s">
        <v>32</v>
      </c>
      <c r="H4" s="11">
        <v>140700</v>
      </c>
      <c r="I4" s="10"/>
      <c r="J4" s="11"/>
      <c r="N4" s="10" t="s">
        <v>11</v>
      </c>
      <c r="O4" s="11">
        <v>144000</v>
      </c>
      <c r="W4" s="10" t="s">
        <v>28</v>
      </c>
      <c r="X4" s="11">
        <v>596900</v>
      </c>
    </row>
    <row r="5" spans="1:24">
      <c r="A5" s="10" t="s">
        <v>15</v>
      </c>
      <c r="B5" s="11">
        <v>9000</v>
      </c>
      <c r="G5" s="10" t="s">
        <v>33</v>
      </c>
      <c r="H5" s="11">
        <v>133200</v>
      </c>
      <c r="I5" s="10"/>
      <c r="J5" s="11"/>
      <c r="N5" s="10" t="s">
        <v>1</v>
      </c>
      <c r="O5" s="11">
        <v>52000</v>
      </c>
    </row>
    <row r="6" spans="1:24">
      <c r="A6" s="10" t="s">
        <v>12</v>
      </c>
      <c r="B6" s="11">
        <v>13000</v>
      </c>
      <c r="G6" s="10" t="s">
        <v>34</v>
      </c>
      <c r="H6" s="11">
        <v>123300</v>
      </c>
      <c r="I6" s="10"/>
      <c r="J6" s="11"/>
      <c r="N6" s="10" t="s">
        <v>9</v>
      </c>
      <c r="O6" s="11">
        <v>150000</v>
      </c>
    </row>
    <row r="7" spans="1:24">
      <c r="A7" s="10" t="s">
        <v>28</v>
      </c>
      <c r="B7" s="11">
        <v>105800</v>
      </c>
      <c r="G7" s="10" t="s">
        <v>28</v>
      </c>
      <c r="H7" s="11">
        <v>596900</v>
      </c>
      <c r="I7" s="10"/>
      <c r="J7" s="11"/>
      <c r="N7" s="10" t="s">
        <v>28</v>
      </c>
      <c r="O7" s="11">
        <v>468000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showGridLines="0" showRowColHeaders="0" tabSelected="1" zoomScale="37" workbookViewId="0">
      <selection activeCell="AW42" sqref="AW42"/>
    </sheetView>
  </sheetViews>
  <sheetFormatPr defaultRowHeight="13.8"/>
  <sheetData>
    <row r="1" spans="1:11" s="15" customFormat="1" ht="14.55" customHeight="1">
      <c r="A1" s="15" t="s">
        <v>35</v>
      </c>
    </row>
    <row r="2" spans="1:11" s="15" customFormat="1"/>
    <row r="9" spans="1:11">
      <c r="I9" s="13"/>
    </row>
    <row r="12" spans="1:11">
      <c r="K12" s="14"/>
    </row>
  </sheetData>
  <mergeCells count="1">
    <mergeCell ref="A1:XF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d4b968c-375e-4716-91b1-d52fdcc5f61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2FA6E743AEC794E865BDF027FDEB026" ma:contentTypeVersion="14" ma:contentTypeDescription="Create a new document." ma:contentTypeScope="" ma:versionID="cbac88b39d90ab1ec1d105c988b3bede">
  <xsd:schema xmlns:xsd="http://www.w3.org/2001/XMLSchema" xmlns:xs="http://www.w3.org/2001/XMLSchema" xmlns:p="http://schemas.microsoft.com/office/2006/metadata/properties" xmlns:ns3="8d4b968c-375e-4716-91b1-d52fdcc5f61e" xmlns:ns4="b3f8beba-ab19-4567-b0c6-82235e192ac9" targetNamespace="http://schemas.microsoft.com/office/2006/metadata/properties" ma:root="true" ma:fieldsID="446c22d9ff5eaf51fac8241935b0f42d" ns3:_="" ns4:_="">
    <xsd:import namespace="8d4b968c-375e-4716-91b1-d52fdcc5f61e"/>
    <xsd:import namespace="b3f8beba-ab19-4567-b0c6-82235e192ac9"/>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4b968c-375e-4716-91b1-d52fdcc5f6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f8beba-ab19-4567-b0c6-82235e192ac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835A0C-9D9F-462E-B979-50CC698AF886}">
  <ds:schemaRefs>
    <ds:schemaRef ds:uri="http://schemas.microsoft.com/office/2006/documentManagement/types"/>
    <ds:schemaRef ds:uri="8d4b968c-375e-4716-91b1-d52fdcc5f61e"/>
    <ds:schemaRef ds:uri="http://purl.org/dc/dcmitype/"/>
    <ds:schemaRef ds:uri="http://schemas.microsoft.com/office/infopath/2007/PartnerControls"/>
    <ds:schemaRef ds:uri="http://www.w3.org/XML/1998/namespace"/>
    <ds:schemaRef ds:uri="http://purl.org/dc/terms/"/>
    <ds:schemaRef ds:uri="http://schemas.openxmlformats.org/package/2006/metadata/core-properties"/>
    <ds:schemaRef ds:uri="http://schemas.microsoft.com/office/2006/metadata/properties"/>
    <ds:schemaRef ds:uri="b3f8beba-ab19-4567-b0c6-82235e192ac9"/>
    <ds:schemaRef ds:uri="http://purl.org/dc/elements/1.1/"/>
  </ds:schemaRefs>
</ds:datastoreItem>
</file>

<file path=customXml/itemProps2.xml><?xml version="1.0" encoding="utf-8"?>
<ds:datastoreItem xmlns:ds="http://schemas.openxmlformats.org/officeDocument/2006/customXml" ds:itemID="{A17C1488-1AA3-4DBF-A283-F388461861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4b968c-375e-4716-91b1-d52fdcc5f61e"/>
    <ds:schemaRef ds:uri="b3f8beba-ab19-4567-b0c6-82235e192a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965B66-E37A-4AD7-B200-752DDABEE3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Tinyiko Katlego Mnisi</dc:creator>
  <cp:lastModifiedBy>S'bu</cp:lastModifiedBy>
  <dcterms:created xsi:type="dcterms:W3CDTF">2026-04-13T09:45:41Z</dcterms:created>
  <dcterms:modified xsi:type="dcterms:W3CDTF">2026-04-13T13:39:03Z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0x010100E2FA6E743AEC794E865BDF027FDEB026</vt:lpwstr>
  </property>
</Properties>
</file>